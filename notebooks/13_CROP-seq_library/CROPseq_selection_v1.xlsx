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gould/Desktop/"/>
    </mc:Choice>
  </mc:AlternateContent>
  <xr:revisionPtr revIDLastSave="0" documentId="13_ncr:1_{633A7BE6-525E-0A4D-AE3B-946E7A07A10A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ABE" sheetId="1" r:id="rId1"/>
    <sheet name="CBE" sheetId="2" r:id="rId2"/>
  </sheets>
  <calcPr calcId="0"/>
</workbook>
</file>

<file path=xl/sharedStrings.xml><?xml version="1.0" encoding="utf-8"?>
<sst xmlns="http://schemas.openxmlformats.org/spreadsheetml/2006/main" count="759" uniqueCount="239">
  <si>
    <t>gRNA_id</t>
  </si>
  <si>
    <t>gene</t>
  </si>
  <si>
    <t>Top_HGVSp</t>
  </si>
  <si>
    <t>Top_HGVSp_codon</t>
  </si>
  <si>
    <t>Top_HGVSp_%Reads_adjusted</t>
  </si>
  <si>
    <t>WT_%Reads_adjusted</t>
  </si>
  <si>
    <t>Canonical_Reads</t>
  </si>
  <si>
    <t>NonCanonical_%Reads</t>
  </si>
  <si>
    <t>KLIFS_residue</t>
  </si>
  <si>
    <t>classification</t>
  </si>
  <si>
    <t>Screen_ID</t>
  </si>
  <si>
    <t>Editor</t>
  </si>
  <si>
    <t>LFC</t>
  </si>
  <si>
    <t>FDR</t>
  </si>
  <si>
    <t>base_RAW_DMSO</t>
  </si>
  <si>
    <t>Condition_significant</t>
  </si>
  <si>
    <t>num_conditions_significant</t>
  </si>
  <si>
    <t>LFC_median_T0_Plasmid</t>
  </si>
  <si>
    <t>FDR_T0_Plasmid</t>
  </si>
  <si>
    <t>gRNA_CDK12_targ_2232</t>
  </si>
  <si>
    <t>CDK12</t>
  </si>
  <si>
    <t>I733V</t>
  </si>
  <si>
    <t>targeting</t>
  </si>
  <si>
    <t>Subpool2</t>
  </si>
  <si>
    <t>ABE</t>
  </si>
  <si>
    <t>HQ461</t>
  </si>
  <si>
    <t>gRNA_CDK12_targ_2452</t>
  </si>
  <si>
    <t>K1068R</t>
  </si>
  <si>
    <t>BSJ-4-116</t>
  </si>
  <si>
    <t>gRNA_CDK12_targ_2269</t>
  </si>
  <si>
    <t>I792V</t>
  </si>
  <si>
    <t>CDK12-IN-2</t>
  </si>
  <si>
    <t>gRNA_CDK12_targ_2254</t>
  </si>
  <si>
    <t>D761G_N762D</t>
  </si>
  <si>
    <t>gRNA_CDK12_targ_2268</t>
  </si>
  <si>
    <t>M789V_K790E</t>
  </si>
  <si>
    <t>gRNA_CDK12_targ_2233</t>
  </si>
  <si>
    <t>gRNA_CDK12_targ_2287</t>
  </si>
  <si>
    <t>M816V_D817G</t>
  </si>
  <si>
    <t>gRNA_CDK12_targ_2285</t>
  </si>
  <si>
    <t>Y815C_M816V</t>
  </si>
  <si>
    <t>gRNA_CDK12_targ_3353</t>
  </si>
  <si>
    <t>Y742H</t>
  </si>
  <si>
    <t>gRNA_CDK12_targ_2238</t>
  </si>
  <si>
    <t>Y742C_K743E</t>
  </si>
  <si>
    <t>gRNA_CDK12_targ_3392</t>
  </si>
  <si>
    <t>V812A_Y815H</t>
  </si>
  <si>
    <t>gRNA_CDK12_targ_3352</t>
  </si>
  <si>
    <t>V741A</t>
  </si>
  <si>
    <t>gRNA_CDK13_targ_5844</t>
  </si>
  <si>
    <t>CDK13</t>
  </si>
  <si>
    <t>C900R</t>
  </si>
  <si>
    <t>gRNA_CDK13_targ_4754</t>
  </si>
  <si>
    <t>Q955R_Y956C</t>
  </si>
  <si>
    <t>gRNA_CDK13_targ_5888</t>
  </si>
  <si>
    <t>I967T</t>
  </si>
  <si>
    <t>gRNA_CDK13_targ_4679</t>
  </si>
  <si>
    <t>E823G</t>
  </si>
  <si>
    <t>gRNA_CDK13_targ_5842</t>
  </si>
  <si>
    <t>V897A_W898R</t>
  </si>
  <si>
    <t>gRNA_CDK13_targ_5917</t>
  </si>
  <si>
    <t>S1004P</t>
  </si>
  <si>
    <t>gRNA_CDK13_targ_5794</t>
  </si>
  <si>
    <t>L806S</t>
  </si>
  <si>
    <t>gRNA_CDK13_targ_4742</t>
  </si>
  <si>
    <t>S932G</t>
  </si>
  <si>
    <t>gRNA_CDK13_targ_5795</t>
  </si>
  <si>
    <t>V807A</t>
  </si>
  <si>
    <t>gRNA_CDK13_targ_4677</t>
  </si>
  <si>
    <t>Q820R</t>
  </si>
  <si>
    <t>gRNA_CDK13_targ_5813</t>
  </si>
  <si>
    <t>I851T</t>
  </si>
  <si>
    <t>gRNA_CDK13_targ_5863</t>
  </si>
  <si>
    <t>I926T</t>
  </si>
  <si>
    <t>gRNA_CDK13_targ_4675</t>
  </si>
  <si>
    <t>M818V_R819G</t>
  </si>
  <si>
    <t>gRNA_CDK13_targ_5812</t>
  </si>
  <si>
    <t>gRNA_CDK13_targ_5848</t>
  </si>
  <si>
    <t>L907P_F908L</t>
  </si>
  <si>
    <t>gRNA_CDK13_targ_4604</t>
  </si>
  <si>
    <t>I711V_T715A</t>
  </si>
  <si>
    <t>gRNA_CDK13_targ_5801</t>
  </si>
  <si>
    <t>L825P</t>
  </si>
  <si>
    <t>gRNA_CDK13_targ_4605</t>
  </si>
  <si>
    <t>I711V</t>
  </si>
  <si>
    <t>gRNA_CDK19_targ_6537</t>
  </si>
  <si>
    <t>CDK19</t>
  </si>
  <si>
    <t>L136P</t>
  </si>
  <si>
    <t>Subpool1</t>
  </si>
  <si>
    <t>KI-CDK9d-32_1000nM</t>
  </si>
  <si>
    <t>gRNA_CDK19_targ_6418</t>
  </si>
  <si>
    <t>L330P</t>
  </si>
  <si>
    <t>SEL120_4000nM</t>
  </si>
  <si>
    <t>gRNA_CDK19_targ_6753</t>
  </si>
  <si>
    <t>Q280R</t>
  </si>
  <si>
    <t>KI-CDK9d-32_100nM</t>
  </si>
  <si>
    <t>gRNA_CDK19_targ_6963</t>
  </si>
  <si>
    <t>K6E</t>
  </si>
  <si>
    <t>gRNA_CDK19_targ_6626</t>
  </si>
  <si>
    <t>M454V</t>
  </si>
  <si>
    <t>gRNA_CDK19_targ_6486</t>
  </si>
  <si>
    <t>I220T</t>
  </si>
  <si>
    <t>gRNA_CDK19_targ_6862</t>
  </si>
  <si>
    <t>H106R_I107V_I108V</t>
  </si>
  <si>
    <t>gRNA_CDK2_targ_7170</t>
  </si>
  <si>
    <t>CDK2</t>
  </si>
  <si>
    <t>S261G</t>
  </si>
  <si>
    <t>Subpool3</t>
  </si>
  <si>
    <t>PALBO</t>
  </si>
  <si>
    <t>gRNA_CDK4_targ_7847</t>
  </si>
  <si>
    <t>CDK4</t>
  </si>
  <si>
    <t>N134G</t>
  </si>
  <si>
    <t>gRNA_CDK4_targ_7923</t>
  </si>
  <si>
    <t>I51V</t>
  </si>
  <si>
    <t>INX</t>
  </si>
  <si>
    <t>gRNA_CDK4_targ_7658</t>
  </si>
  <si>
    <t>V54A</t>
  </si>
  <si>
    <t>gRNA_CDK4_targ_7734</t>
  </si>
  <si>
    <t>E263G</t>
  </si>
  <si>
    <t>gRNA_CDK6_targ_8408</t>
  </si>
  <si>
    <t>CDK6</t>
  </si>
  <si>
    <t>T58A</t>
  </si>
  <si>
    <t>gRNA_CDK6_targ_8207</t>
  </si>
  <si>
    <t>Y13H_C15R</t>
  </si>
  <si>
    <t>gRNA_CDK6_targ_8208</t>
  </si>
  <si>
    <t>Y13H</t>
  </si>
  <si>
    <t>gRNA_CDK7_targ_357</t>
  </si>
  <si>
    <t>CDK7</t>
  </si>
  <si>
    <t>I225T</t>
  </si>
  <si>
    <t>gRNA_CDK7_targ_370</t>
  </si>
  <si>
    <t>V247A</t>
  </si>
  <si>
    <t>gRNA_CDK7_targ_272</t>
  </si>
  <si>
    <t>I74T</t>
  </si>
  <si>
    <t>gRNA_CDK7_targ_282</t>
  </si>
  <si>
    <t>V90A</t>
  </si>
  <si>
    <t>SY-5609</t>
  </si>
  <si>
    <t>SY-5609_10nM</t>
  </si>
  <si>
    <t>gRNA_CDK7_targ_339</t>
  </si>
  <si>
    <t>L184P</t>
  </si>
  <si>
    <t>gRNA_CDK7_targ_74</t>
  </si>
  <si>
    <t>I101V_I102M</t>
  </si>
  <si>
    <t>gRNA_CDK7_targ_286</t>
  </si>
  <si>
    <t>I101T</t>
  </si>
  <si>
    <t>gRNA_CDK7_targ_72</t>
  </si>
  <si>
    <t>D97G</t>
  </si>
  <si>
    <t>SY-5609_100nM</t>
  </si>
  <si>
    <t>gRNA_CDK7_targ_62</t>
  </si>
  <si>
    <t>H83R</t>
  </si>
  <si>
    <t>gRNA_CDK8_targ_939</t>
  </si>
  <si>
    <t>CDK8</t>
  </si>
  <si>
    <t>S343P</t>
  </si>
  <si>
    <t>gRNA_CDK8_targ_834</t>
  </si>
  <si>
    <t>V159A</t>
  </si>
  <si>
    <t>gRNA_CDK8_targ_563</t>
  </si>
  <si>
    <t>E162G</t>
  </si>
  <si>
    <t>gRNA_CDK8_targ_745</t>
  </si>
  <si>
    <t>M1T</t>
  </si>
  <si>
    <t>gRNA_CDK8_targ_818</t>
  </si>
  <si>
    <t>I135T_L136P</t>
  </si>
  <si>
    <t>gRNA_CDK8_targ_480</t>
  </si>
  <si>
    <t>Q53R</t>
  </si>
  <si>
    <t>gRNA_CDK8_targ_569</t>
  </si>
  <si>
    <t>R168G</t>
  </si>
  <si>
    <t>gRNA_CDK8_targ_635</t>
  </si>
  <si>
    <t>T287A</t>
  </si>
  <si>
    <t>gRNA_CDK8_targ_832</t>
  </si>
  <si>
    <t>I157T</t>
  </si>
  <si>
    <t>gRNA_CDK8_targ_427</t>
  </si>
  <si>
    <t>M1V_D2G</t>
  </si>
  <si>
    <t>gRNA_CDK8_targ_565</t>
  </si>
  <si>
    <t>gRNA_CDK8_targ_682</t>
  </si>
  <si>
    <t>D369G_K370E</t>
  </si>
  <si>
    <t>gRNA_CDK9_targ_1514</t>
  </si>
  <si>
    <t>CDK9</t>
  </si>
  <si>
    <t>V162A</t>
  </si>
  <si>
    <t>gRNA_CDK9_targ_1468</t>
  </si>
  <si>
    <t>C95R</t>
  </si>
  <si>
    <t>gRNA_CDK9_targ_1634</t>
  </si>
  <si>
    <t>V283A</t>
  </si>
  <si>
    <t>gRNA_CDK9_targ_1638</t>
  </si>
  <si>
    <t>L289P</t>
  </si>
  <si>
    <t>Senexin B_15000nM</t>
  </si>
  <si>
    <t>gRNA_CDK9_targ_1199</t>
  </si>
  <si>
    <t>I157V</t>
  </si>
  <si>
    <t>KI-CDK9d-32N_5000nM</t>
  </si>
  <si>
    <t>gRNA_CDK9_targ_1683</t>
  </si>
  <si>
    <t>M327T</t>
  </si>
  <si>
    <t>gRNA_CDK9_targ_1201</t>
  </si>
  <si>
    <t>gRNA_CDK9_targ_1210</t>
  </si>
  <si>
    <t>K164R</t>
  </si>
  <si>
    <t>gRNA_CDK9_targ_1200</t>
  </si>
  <si>
    <t>gRNA_CDK12_targ_3351</t>
  </si>
  <si>
    <t>G731K</t>
  </si>
  <si>
    <t>CBE</t>
  </si>
  <si>
    <t>gRNA_CDK12_targ_3555</t>
  </si>
  <si>
    <t>R1067Q</t>
  </si>
  <si>
    <t>H818Y</t>
  </si>
  <si>
    <t>gRNA_CDK12_targ_3394</t>
  </si>
  <si>
    <t>M816I_D817N</t>
  </si>
  <si>
    <t>gRNA_CDK12_targ_3393</t>
  </si>
  <si>
    <t>M816I</t>
  </si>
  <si>
    <t>gRNA_CDK12_targ_3395</t>
  </si>
  <si>
    <t>G822K</t>
  </si>
  <si>
    <t>gRNA_CDK12_targ_3396</t>
  </si>
  <si>
    <t>G822E</t>
  </si>
  <si>
    <t>gRNA_CDK13_targ_5816</t>
  </si>
  <si>
    <t>D855N</t>
  </si>
  <si>
    <t>gRNA_CDK13_targ_5847</t>
  </si>
  <si>
    <t>G905S</t>
  </si>
  <si>
    <t>gRNA_CDK19_targ_6389</t>
  </si>
  <si>
    <t>A384T</t>
  </si>
  <si>
    <t>gRNA_CDK19_targ_6280</t>
  </si>
  <si>
    <t>A499T</t>
  </si>
  <si>
    <t>gRNA_CDK19_targ_6335</t>
  </si>
  <si>
    <t>D428N_S430N</t>
  </si>
  <si>
    <t>E56K</t>
  </si>
  <si>
    <t>ATIRMO</t>
  </si>
  <si>
    <t>gRNA_CDK6_targ_8102</t>
  </si>
  <si>
    <t>G165D_A167T</t>
  </si>
  <si>
    <t>gRNA_CDK7_targ_169</t>
  </si>
  <si>
    <t>Q236*</t>
  </si>
  <si>
    <t>gRNA_CDK7_targ_19</t>
  </si>
  <si>
    <t>L18F</t>
  </si>
  <si>
    <t>gRNA_CDK7_targ_20</t>
  </si>
  <si>
    <t>gRNA_CDK7_targ_18</t>
  </si>
  <si>
    <t>gRNA_CDK8_targ_459</t>
  </si>
  <si>
    <t>R29*</t>
  </si>
  <si>
    <t>L156F</t>
  </si>
  <si>
    <t>gRNA_CDK9_targ_1475</t>
  </si>
  <si>
    <t>C106Y_E107K</t>
  </si>
  <si>
    <t>gRNA_CDK9_targ_1474</t>
  </si>
  <si>
    <t>D104N_C106Y</t>
  </si>
  <si>
    <t>gRNA_CDK9_targ_1376</t>
  </si>
  <si>
    <t>Q365*</t>
  </si>
  <si>
    <t>gRNA_CDK9_targ_1731</t>
  </si>
  <si>
    <t>E367K</t>
  </si>
  <si>
    <t>gRNA_CDK9_targ_1642</t>
  </si>
  <si>
    <t>D293N</t>
  </si>
  <si>
    <t>gRNA_CDK9_targ_1202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</si>
</sst>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zoomScale="88" workbookViewId="0">
      <selection activeCell="E60" sqref="E60"/>
    </sheetView>
  </sheetViews>
  <sheetFormatPr baseColWidth="10" defaultColWidth="8.83203125" defaultRowHeight="15" x14ac:dyDescent="0.2"/>
  <cols>
    <col min="1" max="1" width="22.83203125" customWidth="1"/>
    <col min="3" max="3" width="14.33203125" customWidth="1"/>
    <col min="5" max="5" width="14.1640625" customWidth="1"/>
    <col min="6" max="6" width="15.1640625" customWidth="1"/>
    <col min="7" max="7" width="14.33203125" customWidth="1"/>
    <col min="8" max="8" width="15.1640625" customWidth="1"/>
    <col min="9" max="9" width="13.1640625" customWidth="1"/>
    <col min="10" max="10" width="13.5" customWidth="1"/>
    <col min="13" max="13" width="14.1640625" customWidth="1"/>
    <col min="15" max="15" width="14.83203125" customWidth="1"/>
    <col min="16" max="16" width="23.1640625" customWidth="1"/>
    <col min="18" max="18" width="14.6640625" customWidth="1"/>
    <col min="19" max="19" width="14.5" customWidth="1"/>
  </cols>
  <sheetData>
    <row r="1" spans="1:19" s="2" customFormat="1" ht="4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733</v>
      </c>
      <c r="E2">
        <v>58.869191622699923</v>
      </c>
      <c r="F2">
        <v>0.41461478154979797</v>
      </c>
      <c r="G2">
        <v>1604622</v>
      </c>
      <c r="H2">
        <v>5.6645747291994297</v>
      </c>
      <c r="I2" t="b">
        <v>1</v>
      </c>
      <c r="J2" t="s">
        <v>22</v>
      </c>
      <c r="K2" t="s">
        <v>23</v>
      </c>
      <c r="L2" t="s">
        <v>24</v>
      </c>
      <c r="M2">
        <v>7.3178292462469914</v>
      </c>
      <c r="N2">
        <v>9.9855625406327504E-7</v>
      </c>
      <c r="O2">
        <v>3369</v>
      </c>
      <c r="P2" t="s">
        <v>25</v>
      </c>
      <c r="Q2">
        <v>3</v>
      </c>
      <c r="R2">
        <v>-0.18177508670148959</v>
      </c>
      <c r="S2">
        <v>0.23393021151877791</v>
      </c>
    </row>
    <row r="3" spans="1:19" x14ac:dyDescent="0.2">
      <c r="A3" t="s">
        <v>26</v>
      </c>
      <c r="B3" t="s">
        <v>20</v>
      </c>
      <c r="C3" t="s">
        <v>27</v>
      </c>
      <c r="D3">
        <v>1068</v>
      </c>
      <c r="E3">
        <v>42.5</v>
      </c>
      <c r="F3">
        <v>27.5</v>
      </c>
      <c r="G3">
        <v>1320</v>
      </c>
      <c r="H3">
        <v>42.881869320640412</v>
      </c>
      <c r="I3" t="b">
        <v>0</v>
      </c>
      <c r="J3" t="s">
        <v>22</v>
      </c>
      <c r="K3" t="s">
        <v>23</v>
      </c>
      <c r="L3" t="s">
        <v>24</v>
      </c>
      <c r="M3">
        <v>2.7779787720843561</v>
      </c>
      <c r="N3">
        <v>3.8854386113364998E-3</v>
      </c>
      <c r="O3">
        <v>375</v>
      </c>
      <c r="P3" t="s">
        <v>28</v>
      </c>
      <c r="Q3">
        <v>1</v>
      </c>
      <c r="R3">
        <v>-1.461240706900887</v>
      </c>
      <c r="S3">
        <v>0.51097575540006146</v>
      </c>
    </row>
    <row r="4" spans="1:19" x14ac:dyDescent="0.2">
      <c r="A4" t="s">
        <v>29</v>
      </c>
      <c r="B4" t="s">
        <v>20</v>
      </c>
      <c r="C4" t="s">
        <v>30</v>
      </c>
      <c r="D4">
        <v>792</v>
      </c>
      <c r="E4">
        <v>20.682456844640711</v>
      </c>
      <c r="F4">
        <v>29.0566037735849</v>
      </c>
      <c r="G4">
        <v>12455</v>
      </c>
      <c r="H4">
        <v>1.844116951690441</v>
      </c>
      <c r="I4" t="b">
        <v>1</v>
      </c>
      <c r="J4" t="s">
        <v>22</v>
      </c>
      <c r="K4" t="s">
        <v>23</v>
      </c>
      <c r="L4" t="s">
        <v>24</v>
      </c>
      <c r="M4">
        <v>2.7056113914581248</v>
      </c>
      <c r="N4">
        <v>2.03649465416143E-2</v>
      </c>
      <c r="O4">
        <v>337</v>
      </c>
      <c r="P4" t="s">
        <v>31</v>
      </c>
      <c r="Q4">
        <v>1</v>
      </c>
      <c r="R4">
        <v>-2.6282027118051539</v>
      </c>
      <c r="S4">
        <v>0.26472201639331999</v>
      </c>
    </row>
    <row r="5" spans="1:19" x14ac:dyDescent="0.2">
      <c r="A5" t="s">
        <v>32</v>
      </c>
      <c r="B5" t="s">
        <v>20</v>
      </c>
      <c r="C5" t="s">
        <v>33</v>
      </c>
      <c r="D5">
        <v>761</v>
      </c>
      <c r="E5">
        <v>37.061548643282592</v>
      </c>
      <c r="F5">
        <v>33.14030443414957</v>
      </c>
      <c r="G5">
        <v>6044</v>
      </c>
      <c r="H5">
        <v>2.829581993569132</v>
      </c>
      <c r="I5" t="b">
        <v>0</v>
      </c>
      <c r="J5" t="s">
        <v>22</v>
      </c>
      <c r="K5" t="s">
        <v>23</v>
      </c>
      <c r="L5" t="s">
        <v>24</v>
      </c>
      <c r="M5">
        <v>2.590386044679732</v>
      </c>
      <c r="N5">
        <v>1.28928989643976E-2</v>
      </c>
      <c r="O5">
        <v>260</v>
      </c>
      <c r="P5" t="s">
        <v>31</v>
      </c>
      <c r="Q5">
        <v>1</v>
      </c>
      <c r="R5">
        <v>-0.79320667860606742</v>
      </c>
      <c r="S5">
        <v>0.99999999918036742</v>
      </c>
    </row>
    <row r="6" spans="1:19" x14ac:dyDescent="0.2">
      <c r="A6" t="s">
        <v>34</v>
      </c>
      <c r="B6" t="s">
        <v>20</v>
      </c>
      <c r="C6" t="s">
        <v>35</v>
      </c>
      <c r="D6">
        <v>789</v>
      </c>
      <c r="E6">
        <v>33.617521681611059</v>
      </c>
      <c r="F6">
        <v>32.970748199323829</v>
      </c>
      <c r="G6">
        <v>6803</v>
      </c>
      <c r="H6">
        <v>19.088962892483352</v>
      </c>
      <c r="I6" t="b">
        <v>1</v>
      </c>
      <c r="J6" t="s">
        <v>22</v>
      </c>
      <c r="K6" t="s">
        <v>23</v>
      </c>
      <c r="L6" t="s">
        <v>24</v>
      </c>
      <c r="M6">
        <v>2.325412186194145</v>
      </c>
      <c r="N6">
        <v>1.9197170314852501E-2</v>
      </c>
      <c r="O6">
        <v>464</v>
      </c>
      <c r="P6" t="s">
        <v>28</v>
      </c>
      <c r="Q6">
        <v>1</v>
      </c>
      <c r="R6">
        <v>-1.5700783799005189</v>
      </c>
      <c r="S6">
        <v>0.59523816761382531</v>
      </c>
    </row>
    <row r="7" spans="1:19" x14ac:dyDescent="0.2">
      <c r="A7" t="s">
        <v>36</v>
      </c>
      <c r="B7" t="s">
        <v>20</v>
      </c>
      <c r="C7" t="s">
        <v>21</v>
      </c>
      <c r="D7">
        <v>733</v>
      </c>
      <c r="E7">
        <v>54.620800158812308</v>
      </c>
      <c r="F7">
        <v>33.196026856296129</v>
      </c>
      <c r="G7">
        <v>141047</v>
      </c>
      <c r="H7">
        <v>8.086357001355438</v>
      </c>
      <c r="I7" t="b">
        <v>1</v>
      </c>
      <c r="J7" t="s">
        <v>22</v>
      </c>
      <c r="K7" t="s">
        <v>23</v>
      </c>
      <c r="L7" t="s">
        <v>24</v>
      </c>
      <c r="M7">
        <v>3.9744054658439398</v>
      </c>
      <c r="N7">
        <v>3.9905039997274998E-3</v>
      </c>
      <c r="O7">
        <v>1889</v>
      </c>
      <c r="P7" t="s">
        <v>25</v>
      </c>
      <c r="Q7">
        <v>3</v>
      </c>
      <c r="R7">
        <v>-0.49691519067503021</v>
      </c>
      <c r="S7">
        <v>0.81292473715969804</v>
      </c>
    </row>
    <row r="8" spans="1:19" x14ac:dyDescent="0.2">
      <c r="A8" t="s">
        <v>37</v>
      </c>
      <c r="B8" t="s">
        <v>20</v>
      </c>
      <c r="C8" t="s">
        <v>38</v>
      </c>
      <c r="D8">
        <v>816</v>
      </c>
      <c r="E8">
        <v>44.024901881174721</v>
      </c>
      <c r="F8">
        <v>8.4788198673704152</v>
      </c>
      <c r="G8">
        <v>14778</v>
      </c>
      <c r="H8">
        <v>2.3135906927551559</v>
      </c>
      <c r="I8" t="b">
        <v>1</v>
      </c>
      <c r="J8" t="s">
        <v>22</v>
      </c>
      <c r="K8" t="s">
        <v>23</v>
      </c>
      <c r="L8" t="s">
        <v>24</v>
      </c>
      <c r="M8">
        <v>2.2624480406265701</v>
      </c>
      <c r="N8">
        <v>1.14536165029806E-2</v>
      </c>
      <c r="O8">
        <v>439</v>
      </c>
      <c r="P8" t="s">
        <v>28</v>
      </c>
      <c r="Q8">
        <v>1</v>
      </c>
      <c r="R8">
        <v>-3.7025112162083871</v>
      </c>
      <c r="S8">
        <v>0.13111178868479079</v>
      </c>
    </row>
    <row r="9" spans="1:19" x14ac:dyDescent="0.2">
      <c r="A9" t="s">
        <v>39</v>
      </c>
      <c r="B9" t="s">
        <v>20</v>
      </c>
      <c r="C9" t="s">
        <v>40</v>
      </c>
      <c r="D9">
        <v>815</v>
      </c>
      <c r="E9">
        <v>37.921655682447053</v>
      </c>
      <c r="F9">
        <v>0.79205866076369669</v>
      </c>
      <c r="G9">
        <v>318032</v>
      </c>
      <c r="H9">
        <v>4.6818101440718349</v>
      </c>
      <c r="I9" t="b">
        <v>1</v>
      </c>
      <c r="J9" t="s">
        <v>22</v>
      </c>
      <c r="K9" t="s">
        <v>23</v>
      </c>
      <c r="L9" t="s">
        <v>24</v>
      </c>
      <c r="M9">
        <v>4.365312485026406</v>
      </c>
      <c r="N9">
        <v>6.6570416937551673E-7</v>
      </c>
      <c r="O9">
        <v>5265</v>
      </c>
      <c r="P9" t="s">
        <v>28</v>
      </c>
      <c r="Q9">
        <v>1</v>
      </c>
      <c r="R9">
        <v>0.45495283996709862</v>
      </c>
      <c r="S9">
        <v>0.27756721666149181</v>
      </c>
    </row>
    <row r="10" spans="1:19" x14ac:dyDescent="0.2">
      <c r="A10" t="s">
        <v>41</v>
      </c>
      <c r="B10" t="s">
        <v>20</v>
      </c>
      <c r="C10" t="s">
        <v>42</v>
      </c>
      <c r="D10">
        <v>742</v>
      </c>
      <c r="E10">
        <v>33.406757513533698</v>
      </c>
      <c r="F10">
        <v>28.011946985252941</v>
      </c>
      <c r="G10">
        <v>26785</v>
      </c>
      <c r="H10">
        <v>3.3555836189788928</v>
      </c>
      <c r="I10" t="b">
        <v>1</v>
      </c>
      <c r="J10" t="s">
        <v>22</v>
      </c>
      <c r="K10" t="s">
        <v>23</v>
      </c>
      <c r="L10" t="s">
        <v>24</v>
      </c>
      <c r="M10">
        <v>2.1115138122771691</v>
      </c>
      <c r="N10">
        <v>4.07146319744041E-2</v>
      </c>
      <c r="O10">
        <v>776</v>
      </c>
      <c r="P10" t="s">
        <v>28</v>
      </c>
      <c r="Q10">
        <v>1</v>
      </c>
      <c r="R10">
        <v>-0.28553006687876309</v>
      </c>
      <c r="S10">
        <v>0.97657097070068943</v>
      </c>
    </row>
    <row r="11" spans="1:19" x14ac:dyDescent="0.2">
      <c r="A11" t="s">
        <v>43</v>
      </c>
      <c r="B11" t="s">
        <v>20</v>
      </c>
      <c r="C11" t="s">
        <v>44</v>
      </c>
      <c r="D11">
        <v>742</v>
      </c>
      <c r="E11">
        <v>80.919045842568408</v>
      </c>
      <c r="F11">
        <v>3.5528539138449382</v>
      </c>
      <c r="G11">
        <v>91138</v>
      </c>
      <c r="H11">
        <v>2.297359590913477</v>
      </c>
      <c r="I11" t="b">
        <v>1</v>
      </c>
      <c r="J11" t="s">
        <v>22</v>
      </c>
      <c r="K11" t="s">
        <v>23</v>
      </c>
      <c r="L11" t="s">
        <v>24</v>
      </c>
      <c r="M11">
        <v>6.5653155388148097</v>
      </c>
      <c r="N11">
        <v>9.9855625406327504E-7</v>
      </c>
      <c r="O11">
        <v>563</v>
      </c>
      <c r="P11" t="s">
        <v>25</v>
      </c>
      <c r="Q11">
        <v>1</v>
      </c>
      <c r="R11">
        <v>-2.1237479656206131</v>
      </c>
      <c r="S11">
        <v>0.36689997396361468</v>
      </c>
    </row>
    <row r="12" spans="1:19" x14ac:dyDescent="0.2">
      <c r="A12" t="s">
        <v>45</v>
      </c>
      <c r="B12" t="s">
        <v>20</v>
      </c>
      <c r="C12" t="s">
        <v>46</v>
      </c>
      <c r="D12">
        <v>812</v>
      </c>
      <c r="E12">
        <v>36.885743174924173</v>
      </c>
      <c r="F12">
        <v>9.4674755645433102</v>
      </c>
      <c r="G12">
        <v>29670</v>
      </c>
      <c r="H12">
        <v>3.631284916201118</v>
      </c>
      <c r="I12" t="b">
        <v>1</v>
      </c>
      <c r="J12" t="s">
        <v>22</v>
      </c>
      <c r="K12" t="s">
        <v>23</v>
      </c>
      <c r="L12" t="s">
        <v>24</v>
      </c>
      <c r="M12">
        <v>4.0066063952574087</v>
      </c>
      <c r="N12">
        <v>3.9905039997274998E-3</v>
      </c>
      <c r="O12">
        <v>515</v>
      </c>
      <c r="P12" t="s">
        <v>25</v>
      </c>
      <c r="Q12">
        <v>1</v>
      </c>
      <c r="R12">
        <v>-3.3931236138095908</v>
      </c>
      <c r="S12">
        <v>0.25342422841480211</v>
      </c>
    </row>
    <row r="13" spans="1:19" s="4" customFormat="1" ht="16" thickBot="1" x14ac:dyDescent="0.25">
      <c r="A13" s="4" t="s">
        <v>47</v>
      </c>
      <c r="B13" s="4" t="s">
        <v>20</v>
      </c>
      <c r="C13" s="4" t="s">
        <v>48</v>
      </c>
      <c r="D13" s="4">
        <v>741</v>
      </c>
      <c r="E13" s="4">
        <v>42.636845760464666</v>
      </c>
      <c r="F13" s="4">
        <v>10.242123871456529</v>
      </c>
      <c r="G13" s="4">
        <v>63356</v>
      </c>
      <c r="H13" s="4">
        <v>1.790392336190727</v>
      </c>
      <c r="I13" s="4" t="b">
        <v>1</v>
      </c>
      <c r="J13" s="4" t="s">
        <v>22</v>
      </c>
      <c r="K13" s="4" t="s">
        <v>23</v>
      </c>
      <c r="L13" s="4" t="s">
        <v>24</v>
      </c>
      <c r="M13" s="4">
        <v>2.7677446024310668</v>
      </c>
      <c r="N13" s="4">
        <v>4.4014305947700999E-3</v>
      </c>
      <c r="O13" s="4">
        <v>2085</v>
      </c>
      <c r="P13" s="4" t="s">
        <v>28</v>
      </c>
      <c r="Q13" s="4">
        <v>1</v>
      </c>
      <c r="R13" s="4">
        <v>-0.181802034307051</v>
      </c>
      <c r="S13" s="4">
        <v>0.99999999918036742</v>
      </c>
    </row>
    <row r="14" spans="1:19" x14ac:dyDescent="0.2">
      <c r="A14" t="s">
        <v>49</v>
      </c>
      <c r="B14" t="s">
        <v>50</v>
      </c>
      <c r="C14" t="s">
        <v>51</v>
      </c>
      <c r="D14">
        <v>900</v>
      </c>
      <c r="E14">
        <v>50.244802953688087</v>
      </c>
      <c r="F14">
        <v>29.665302191187092</v>
      </c>
      <c r="G14">
        <v>24918</v>
      </c>
      <c r="H14">
        <v>4.3711862455386266</v>
      </c>
      <c r="I14" t="b">
        <v>0</v>
      </c>
      <c r="J14" t="s">
        <v>22</v>
      </c>
      <c r="K14" t="s">
        <v>23</v>
      </c>
      <c r="L14" t="s">
        <v>24</v>
      </c>
      <c r="M14">
        <v>2.1342629428963371</v>
      </c>
      <c r="N14">
        <v>4.5149386022548997E-2</v>
      </c>
      <c r="O14">
        <v>985</v>
      </c>
      <c r="P14" t="s">
        <v>31</v>
      </c>
      <c r="Q14">
        <v>1</v>
      </c>
      <c r="R14">
        <v>-2.0531460565478352</v>
      </c>
      <c r="S14">
        <v>0.56027459240223221</v>
      </c>
    </row>
    <row r="15" spans="1:19" x14ac:dyDescent="0.2">
      <c r="A15" t="s">
        <v>52</v>
      </c>
      <c r="B15" t="s">
        <v>50</v>
      </c>
      <c r="C15" t="s">
        <v>53</v>
      </c>
      <c r="D15">
        <v>955</v>
      </c>
      <c r="E15">
        <v>71.731257769850274</v>
      </c>
      <c r="F15">
        <v>21.193449002756601</v>
      </c>
      <c r="G15">
        <v>18501</v>
      </c>
      <c r="H15">
        <v>5.3027588677893229</v>
      </c>
      <c r="I15" t="b">
        <v>0</v>
      </c>
      <c r="J15" t="s">
        <v>22</v>
      </c>
      <c r="K15" t="s">
        <v>23</v>
      </c>
      <c r="L15" t="s">
        <v>24</v>
      </c>
      <c r="M15">
        <v>2.1747727343241818</v>
      </c>
      <c r="N15">
        <v>2.03649465416143E-2</v>
      </c>
      <c r="O15">
        <v>790</v>
      </c>
      <c r="P15" t="s">
        <v>31</v>
      </c>
      <c r="Q15">
        <v>1</v>
      </c>
      <c r="R15">
        <v>-2.306908833539342</v>
      </c>
      <c r="S15">
        <v>0.31345581159282521</v>
      </c>
    </row>
    <row r="16" spans="1:19" x14ac:dyDescent="0.2">
      <c r="A16" t="s">
        <v>54</v>
      </c>
      <c r="B16" t="s">
        <v>50</v>
      </c>
      <c r="C16" t="s">
        <v>55</v>
      </c>
      <c r="D16">
        <v>967</v>
      </c>
      <c r="E16">
        <v>23.550986050986051</v>
      </c>
      <c r="F16">
        <v>76.449013949013946</v>
      </c>
      <c r="G16">
        <v>16632</v>
      </c>
      <c r="H16">
        <v>5.1605177624451164</v>
      </c>
      <c r="I16" t="b">
        <v>0</v>
      </c>
      <c r="J16" t="s">
        <v>22</v>
      </c>
      <c r="K16" t="s">
        <v>23</v>
      </c>
      <c r="L16" t="s">
        <v>24</v>
      </c>
      <c r="M16">
        <v>2.761056297906304</v>
      </c>
      <c r="N16">
        <v>7.8760927743359004E-3</v>
      </c>
      <c r="O16">
        <v>758</v>
      </c>
      <c r="P16" t="s">
        <v>31</v>
      </c>
      <c r="Q16">
        <v>1</v>
      </c>
      <c r="R16">
        <v>-1.710416764371766</v>
      </c>
      <c r="S16">
        <v>0.61854795023492271</v>
      </c>
    </row>
    <row r="17" spans="1:19" x14ac:dyDescent="0.2">
      <c r="A17" t="s">
        <v>56</v>
      </c>
      <c r="B17" t="s">
        <v>50</v>
      </c>
      <c r="C17" t="s">
        <v>57</v>
      </c>
      <c r="D17">
        <v>823</v>
      </c>
      <c r="E17">
        <v>44.6474489105427</v>
      </c>
      <c r="F17">
        <v>39.870077141697116</v>
      </c>
      <c r="G17">
        <v>7389</v>
      </c>
      <c r="H17">
        <v>1.322115384615385</v>
      </c>
      <c r="I17" t="b">
        <v>0</v>
      </c>
      <c r="J17" t="s">
        <v>22</v>
      </c>
      <c r="K17" t="s">
        <v>23</v>
      </c>
      <c r="L17" t="s">
        <v>24</v>
      </c>
      <c r="M17">
        <v>2.2695847323260021</v>
      </c>
      <c r="N17">
        <v>4.5149386022548997E-2</v>
      </c>
      <c r="O17">
        <v>172</v>
      </c>
      <c r="P17" t="s">
        <v>31</v>
      </c>
      <c r="Q17">
        <v>1</v>
      </c>
      <c r="R17">
        <v>-2.960940913847677</v>
      </c>
      <c r="S17">
        <v>0.21920533511706561</v>
      </c>
    </row>
    <row r="18" spans="1:19" x14ac:dyDescent="0.2">
      <c r="A18" t="s">
        <v>58</v>
      </c>
      <c r="B18" t="s">
        <v>50</v>
      </c>
      <c r="C18" t="s">
        <v>59</v>
      </c>
      <c r="D18">
        <v>897</v>
      </c>
      <c r="E18">
        <v>82.170021002834361</v>
      </c>
      <c r="F18">
        <v>7.1929609918231687</v>
      </c>
      <c r="G18">
        <v>98082</v>
      </c>
      <c r="H18">
        <v>7.7725956294429608</v>
      </c>
      <c r="I18" t="b">
        <v>0</v>
      </c>
      <c r="J18" t="s">
        <v>22</v>
      </c>
      <c r="K18" t="s">
        <v>23</v>
      </c>
      <c r="L18" t="s">
        <v>24</v>
      </c>
      <c r="M18">
        <v>2.3068808937549541</v>
      </c>
      <c r="N18">
        <v>3.8680486182690599E-2</v>
      </c>
      <c r="O18">
        <v>6342</v>
      </c>
      <c r="P18" t="s">
        <v>31</v>
      </c>
      <c r="Q18">
        <v>1</v>
      </c>
      <c r="R18">
        <v>0.41209858189346532</v>
      </c>
      <c r="S18">
        <v>0.73882481461499583</v>
      </c>
    </row>
    <row r="19" spans="1:19" x14ac:dyDescent="0.2">
      <c r="A19" t="s">
        <v>60</v>
      </c>
      <c r="B19" t="s">
        <v>50</v>
      </c>
      <c r="C19" t="s">
        <v>61</v>
      </c>
      <c r="D19">
        <v>1004</v>
      </c>
      <c r="E19">
        <v>44.128725302319431</v>
      </c>
      <c r="F19">
        <v>44.83578933456684</v>
      </c>
      <c r="G19">
        <v>15133</v>
      </c>
      <c r="H19">
        <v>1.676304333701514</v>
      </c>
      <c r="I19" t="b">
        <v>0</v>
      </c>
      <c r="J19" t="s">
        <v>22</v>
      </c>
      <c r="K19" t="s">
        <v>23</v>
      </c>
      <c r="L19" t="s">
        <v>24</v>
      </c>
      <c r="M19">
        <v>2.4003531825990221</v>
      </c>
      <c r="N19">
        <v>8.6297635652770998E-3</v>
      </c>
      <c r="O19">
        <v>256</v>
      </c>
      <c r="P19" t="s">
        <v>31</v>
      </c>
      <c r="Q19">
        <v>1</v>
      </c>
      <c r="R19">
        <v>-1.7250154648221201</v>
      </c>
      <c r="S19">
        <v>0.47320894147642018</v>
      </c>
    </row>
    <row r="20" spans="1:19" x14ac:dyDescent="0.2">
      <c r="A20" t="s">
        <v>62</v>
      </c>
      <c r="B20" t="s">
        <v>50</v>
      </c>
      <c r="C20" t="s">
        <v>63</v>
      </c>
      <c r="D20">
        <v>806</v>
      </c>
      <c r="E20">
        <v>26.37785800240674</v>
      </c>
      <c r="F20">
        <v>14.76774969915764</v>
      </c>
      <c r="G20">
        <v>20775</v>
      </c>
      <c r="H20">
        <v>8.6250879662209705</v>
      </c>
      <c r="I20" t="b">
        <v>0</v>
      </c>
      <c r="J20" t="s">
        <v>22</v>
      </c>
      <c r="K20" t="s">
        <v>23</v>
      </c>
      <c r="L20" t="s">
        <v>24</v>
      </c>
      <c r="M20">
        <v>2.584621675094148</v>
      </c>
      <c r="N20">
        <v>1.7524142236773899E-2</v>
      </c>
      <c r="O20">
        <v>604</v>
      </c>
      <c r="P20" t="s">
        <v>31</v>
      </c>
      <c r="Q20">
        <v>1</v>
      </c>
      <c r="R20">
        <v>-3.097288734168099</v>
      </c>
      <c r="S20">
        <v>0.21066296367170201</v>
      </c>
    </row>
    <row r="21" spans="1:19" x14ac:dyDescent="0.2">
      <c r="A21" t="s">
        <v>64</v>
      </c>
      <c r="B21" t="s">
        <v>50</v>
      </c>
      <c r="C21" t="s">
        <v>65</v>
      </c>
      <c r="D21">
        <v>932</v>
      </c>
      <c r="E21">
        <v>98.860703840345607</v>
      </c>
      <c r="F21">
        <v>1.139296159654388</v>
      </c>
      <c r="G21">
        <v>104626</v>
      </c>
      <c r="H21">
        <v>4.9934165720771846</v>
      </c>
      <c r="I21" t="b">
        <v>0</v>
      </c>
      <c r="J21" t="s">
        <v>22</v>
      </c>
      <c r="K21" t="s">
        <v>23</v>
      </c>
      <c r="L21" t="s">
        <v>24</v>
      </c>
      <c r="M21">
        <v>2.0959705084313969</v>
      </c>
      <c r="N21">
        <v>4.5022538682588403E-2</v>
      </c>
      <c r="O21">
        <v>5996</v>
      </c>
      <c r="P21" t="s">
        <v>31</v>
      </c>
      <c r="Q21">
        <v>1</v>
      </c>
      <c r="R21">
        <v>0.45052918715430901</v>
      </c>
      <c r="S21">
        <v>0.60389291623891272</v>
      </c>
    </row>
    <row r="22" spans="1:19" x14ac:dyDescent="0.2">
      <c r="A22" t="s">
        <v>66</v>
      </c>
      <c r="B22" t="s">
        <v>50</v>
      </c>
      <c r="C22" t="s">
        <v>67</v>
      </c>
      <c r="D22">
        <v>807</v>
      </c>
      <c r="E22">
        <v>87.32082889671554</v>
      </c>
      <c r="F22">
        <v>8.7230731427635355</v>
      </c>
      <c r="G22">
        <v>12209</v>
      </c>
      <c r="H22">
        <v>5.9761262995764337</v>
      </c>
      <c r="I22" t="b">
        <v>0</v>
      </c>
      <c r="J22" t="s">
        <v>22</v>
      </c>
      <c r="K22" t="s">
        <v>23</v>
      </c>
      <c r="L22" t="s">
        <v>24</v>
      </c>
      <c r="M22">
        <v>2.3685676196827892</v>
      </c>
      <c r="N22">
        <v>1.19758295172517E-2</v>
      </c>
      <c r="O22">
        <v>329</v>
      </c>
      <c r="P22" t="s">
        <v>31</v>
      </c>
      <c r="Q22">
        <v>1</v>
      </c>
      <c r="R22">
        <v>-2.32183648520023</v>
      </c>
      <c r="S22">
        <v>0.2467741288562374</v>
      </c>
    </row>
    <row r="23" spans="1:19" x14ac:dyDescent="0.2">
      <c r="A23" t="s">
        <v>68</v>
      </c>
      <c r="B23" t="s">
        <v>50</v>
      </c>
      <c r="C23" t="s">
        <v>69</v>
      </c>
      <c r="D23">
        <v>820</v>
      </c>
      <c r="E23">
        <v>53.595041322314053</v>
      </c>
      <c r="F23">
        <v>13.041322314049591</v>
      </c>
      <c r="G23">
        <v>12100</v>
      </c>
      <c r="H23">
        <v>9.6475507765830351</v>
      </c>
      <c r="I23" t="b">
        <v>0</v>
      </c>
      <c r="J23" t="s">
        <v>22</v>
      </c>
      <c r="K23" t="s">
        <v>23</v>
      </c>
      <c r="L23" t="s">
        <v>24</v>
      </c>
      <c r="M23">
        <v>3.2982168884794669</v>
      </c>
      <c r="N23">
        <v>1.7980112935405E-3</v>
      </c>
      <c r="O23">
        <v>675</v>
      </c>
      <c r="P23" t="s">
        <v>31</v>
      </c>
      <c r="Q23">
        <v>1</v>
      </c>
      <c r="R23">
        <v>-1.231233958729695</v>
      </c>
      <c r="S23">
        <v>0.90595504377452518</v>
      </c>
    </row>
    <row r="24" spans="1:19" x14ac:dyDescent="0.2">
      <c r="A24" t="s">
        <v>70</v>
      </c>
      <c r="B24" t="s">
        <v>50</v>
      </c>
      <c r="C24" t="s">
        <v>71</v>
      </c>
      <c r="D24">
        <v>851</v>
      </c>
      <c r="E24">
        <v>87.794382286206087</v>
      </c>
      <c r="F24">
        <v>12.11564040372428</v>
      </c>
      <c r="G24">
        <v>25562</v>
      </c>
      <c r="H24">
        <v>2.7506182233212861</v>
      </c>
      <c r="I24" t="b">
        <v>0</v>
      </c>
      <c r="J24" t="s">
        <v>22</v>
      </c>
      <c r="K24" t="s">
        <v>23</v>
      </c>
      <c r="L24" t="s">
        <v>24</v>
      </c>
      <c r="M24">
        <v>2.7779359323852502</v>
      </c>
      <c r="N24">
        <v>2.03649465416143E-2</v>
      </c>
      <c r="O24">
        <v>768</v>
      </c>
      <c r="P24" t="s">
        <v>31</v>
      </c>
      <c r="Q24">
        <v>1</v>
      </c>
      <c r="R24">
        <v>-1.909117983571972</v>
      </c>
      <c r="S24">
        <v>0.6652980980453812</v>
      </c>
    </row>
    <row r="25" spans="1:19" x14ac:dyDescent="0.2">
      <c r="A25" t="s">
        <v>72</v>
      </c>
      <c r="B25" t="s">
        <v>50</v>
      </c>
      <c r="C25" t="s">
        <v>73</v>
      </c>
      <c r="D25">
        <v>926</v>
      </c>
      <c r="E25">
        <v>26.576865512080399</v>
      </c>
      <c r="F25">
        <v>73.401753260637165</v>
      </c>
      <c r="G25">
        <v>4677</v>
      </c>
      <c r="H25">
        <v>5.1510849726221863</v>
      </c>
      <c r="I25" t="b">
        <v>0</v>
      </c>
      <c r="J25" t="s">
        <v>22</v>
      </c>
      <c r="K25" t="s">
        <v>23</v>
      </c>
      <c r="L25" t="s">
        <v>24</v>
      </c>
      <c r="M25">
        <v>2.766746251533561</v>
      </c>
      <c r="N25">
        <v>4.3380321066513801E-2</v>
      </c>
      <c r="O25">
        <v>523</v>
      </c>
      <c r="P25" t="s">
        <v>31</v>
      </c>
      <c r="Q25">
        <v>1</v>
      </c>
      <c r="R25">
        <v>-1.9487372921369219</v>
      </c>
      <c r="S25">
        <v>0.57003793083025567</v>
      </c>
    </row>
    <row r="26" spans="1:19" x14ac:dyDescent="0.2">
      <c r="A26" t="s">
        <v>74</v>
      </c>
      <c r="B26" t="s">
        <v>50</v>
      </c>
      <c r="C26" t="s">
        <v>75</v>
      </c>
      <c r="D26">
        <v>818</v>
      </c>
      <c r="E26">
        <v>32.742346938775512</v>
      </c>
      <c r="F26">
        <v>16.88137755102041</v>
      </c>
      <c r="G26">
        <v>15680</v>
      </c>
      <c r="H26">
        <v>5.7465736955999036</v>
      </c>
      <c r="I26" t="b">
        <v>0</v>
      </c>
      <c r="J26" t="s">
        <v>22</v>
      </c>
      <c r="K26" t="s">
        <v>23</v>
      </c>
      <c r="L26" t="s">
        <v>24</v>
      </c>
      <c r="M26">
        <v>3.3980957637515208</v>
      </c>
      <c r="N26">
        <v>1.8073376345713E-3</v>
      </c>
      <c r="O26">
        <v>532</v>
      </c>
      <c r="P26" t="s">
        <v>31</v>
      </c>
      <c r="Q26">
        <v>1</v>
      </c>
      <c r="R26">
        <v>-1.988660869143382</v>
      </c>
      <c r="S26">
        <v>0.2998153301513799</v>
      </c>
    </row>
    <row r="27" spans="1:19" x14ac:dyDescent="0.2">
      <c r="A27" t="s">
        <v>76</v>
      </c>
      <c r="B27" t="s">
        <v>50</v>
      </c>
      <c r="C27" t="s">
        <v>71</v>
      </c>
      <c r="D27">
        <v>851</v>
      </c>
      <c r="E27">
        <v>87.842459896706231</v>
      </c>
      <c r="F27">
        <v>12.14727913260594</v>
      </c>
      <c r="G27">
        <v>58474</v>
      </c>
      <c r="H27">
        <v>2.183040867194165</v>
      </c>
      <c r="I27" t="b">
        <v>0</v>
      </c>
      <c r="J27" t="s">
        <v>22</v>
      </c>
      <c r="K27" t="s">
        <v>23</v>
      </c>
      <c r="L27" t="s">
        <v>24</v>
      </c>
      <c r="M27">
        <v>2.8177235929937781</v>
      </c>
      <c r="N27">
        <v>1.7524142236773899E-2</v>
      </c>
      <c r="O27">
        <v>1607</v>
      </c>
      <c r="P27" t="s">
        <v>31</v>
      </c>
      <c r="Q27">
        <v>1</v>
      </c>
      <c r="R27">
        <v>-1.2441029267556509</v>
      </c>
      <c r="S27">
        <v>0.96608383438609635</v>
      </c>
    </row>
    <row r="28" spans="1:19" x14ac:dyDescent="0.2">
      <c r="A28" t="s">
        <v>77</v>
      </c>
      <c r="B28" t="s">
        <v>50</v>
      </c>
      <c r="C28" t="s">
        <v>78</v>
      </c>
      <c r="D28">
        <v>907</v>
      </c>
      <c r="E28">
        <v>35.50174836709111</v>
      </c>
      <c r="F28">
        <v>24.859800752127729</v>
      </c>
      <c r="G28">
        <v>15157</v>
      </c>
      <c r="H28">
        <v>3.7345188948872661</v>
      </c>
      <c r="I28" t="b">
        <v>0</v>
      </c>
      <c r="J28" t="s">
        <v>22</v>
      </c>
      <c r="K28" t="s">
        <v>23</v>
      </c>
      <c r="L28" t="s">
        <v>24</v>
      </c>
      <c r="M28">
        <v>2.9942807431117791</v>
      </c>
      <c r="N28">
        <v>1.7980112935405E-3</v>
      </c>
      <c r="O28">
        <v>171</v>
      </c>
      <c r="P28" t="s">
        <v>31</v>
      </c>
      <c r="Q28">
        <v>1</v>
      </c>
      <c r="R28">
        <v>-3.4680991181577641</v>
      </c>
      <c r="S28">
        <v>0.16530971262854269</v>
      </c>
    </row>
    <row r="29" spans="1:19" x14ac:dyDescent="0.2">
      <c r="A29" t="s">
        <v>79</v>
      </c>
      <c r="B29" t="s">
        <v>50</v>
      </c>
      <c r="C29" t="s">
        <v>80</v>
      </c>
      <c r="D29">
        <v>711</v>
      </c>
      <c r="E29">
        <v>55.58951521067187</v>
      </c>
      <c r="F29">
        <v>0.62062794859280945</v>
      </c>
      <c r="G29">
        <v>491760</v>
      </c>
      <c r="H29">
        <v>2.399717376764162</v>
      </c>
      <c r="I29" t="b">
        <v>1</v>
      </c>
      <c r="J29" t="s">
        <v>22</v>
      </c>
      <c r="K29" t="s">
        <v>23</v>
      </c>
      <c r="L29" t="s">
        <v>24</v>
      </c>
      <c r="M29">
        <v>4.8731804505076672</v>
      </c>
      <c r="N29">
        <v>6.6570416937551673E-7</v>
      </c>
      <c r="O29">
        <v>4449</v>
      </c>
      <c r="P29" t="s">
        <v>28</v>
      </c>
      <c r="Q29">
        <v>3</v>
      </c>
      <c r="R29">
        <v>-0.62325973395980983</v>
      </c>
      <c r="S29">
        <v>0.50680503693237333</v>
      </c>
    </row>
    <row r="30" spans="1:19" x14ac:dyDescent="0.2">
      <c r="A30" t="s">
        <v>81</v>
      </c>
      <c r="B30" t="s">
        <v>50</v>
      </c>
      <c r="C30" t="s">
        <v>82</v>
      </c>
      <c r="D30">
        <v>825</v>
      </c>
      <c r="E30">
        <v>54.343133606252323</v>
      </c>
      <c r="F30">
        <v>11.44026795682918</v>
      </c>
      <c r="G30">
        <v>13435</v>
      </c>
      <c r="H30">
        <v>3.5742481877556882</v>
      </c>
      <c r="I30" t="b">
        <v>0</v>
      </c>
      <c r="J30" t="s">
        <v>22</v>
      </c>
      <c r="K30" t="s">
        <v>23</v>
      </c>
      <c r="L30" t="s">
        <v>24</v>
      </c>
      <c r="M30">
        <v>2.9781704655242418</v>
      </c>
      <c r="N30">
        <v>1.0198438377010399E-2</v>
      </c>
      <c r="O30">
        <v>384</v>
      </c>
      <c r="P30" t="s">
        <v>31</v>
      </c>
      <c r="Q30">
        <v>1</v>
      </c>
      <c r="R30">
        <v>-2.0233891495170249</v>
      </c>
      <c r="S30">
        <v>0.45363116210358029</v>
      </c>
    </row>
    <row r="31" spans="1:19" s="4" customFormat="1" ht="16" thickBot="1" x14ac:dyDescent="0.25">
      <c r="A31" s="4" t="s">
        <v>83</v>
      </c>
      <c r="B31" s="4" t="s">
        <v>50</v>
      </c>
      <c r="C31" s="4" t="s">
        <v>84</v>
      </c>
      <c r="D31" s="4">
        <v>711</v>
      </c>
      <c r="E31" s="4">
        <v>54.877436873717919</v>
      </c>
      <c r="F31" s="4">
        <v>22.836144684995791</v>
      </c>
      <c r="G31" s="4">
        <v>135522</v>
      </c>
      <c r="H31" s="4">
        <v>2.4846195358877501</v>
      </c>
      <c r="I31" s="4" t="b">
        <v>1</v>
      </c>
      <c r="J31" s="4" t="s">
        <v>22</v>
      </c>
      <c r="K31" s="4" t="s">
        <v>23</v>
      </c>
      <c r="L31" s="4" t="s">
        <v>24</v>
      </c>
      <c r="M31" s="4">
        <v>2.8828399983239632</v>
      </c>
      <c r="N31" s="4">
        <v>3.8854386113364998E-3</v>
      </c>
      <c r="O31" s="4">
        <v>2436</v>
      </c>
      <c r="P31" s="4" t="s">
        <v>28</v>
      </c>
      <c r="Q31" s="4">
        <v>1</v>
      </c>
      <c r="R31" s="4">
        <v>-0.208553398672053</v>
      </c>
      <c r="S31" s="4">
        <v>0.40832303543607168</v>
      </c>
    </row>
    <row r="32" spans="1:19" x14ac:dyDescent="0.2">
      <c r="A32" t="s">
        <v>85</v>
      </c>
      <c r="B32" t="s">
        <v>86</v>
      </c>
      <c r="C32" t="s">
        <v>87</v>
      </c>
      <c r="D32">
        <v>136</v>
      </c>
      <c r="E32">
        <v>26.631827546354451</v>
      </c>
      <c r="F32">
        <v>44.484196774031453</v>
      </c>
      <c r="G32">
        <v>99505</v>
      </c>
      <c r="H32">
        <v>5.1140481367051924</v>
      </c>
      <c r="I32" t="b">
        <v>0</v>
      </c>
      <c r="J32" t="s">
        <v>22</v>
      </c>
      <c r="K32" t="s">
        <v>88</v>
      </c>
      <c r="L32" t="s">
        <v>24</v>
      </c>
      <c r="M32">
        <v>2.169401830944568</v>
      </c>
      <c r="N32">
        <v>3.8792278645659001E-3</v>
      </c>
      <c r="O32">
        <v>5904</v>
      </c>
      <c r="P32" t="s">
        <v>89</v>
      </c>
      <c r="Q32">
        <v>1</v>
      </c>
      <c r="R32">
        <v>-0.49965851905852787</v>
      </c>
      <c r="S32">
        <v>1</v>
      </c>
    </row>
    <row r="33" spans="1:19" x14ac:dyDescent="0.2">
      <c r="A33" t="s">
        <v>90</v>
      </c>
      <c r="B33" t="s">
        <v>86</v>
      </c>
      <c r="C33" t="s">
        <v>91</v>
      </c>
      <c r="D33">
        <v>330</v>
      </c>
      <c r="E33">
        <v>91.647446031046726</v>
      </c>
      <c r="F33">
        <v>8.3525539689532753</v>
      </c>
      <c r="G33">
        <v>38587</v>
      </c>
      <c r="H33">
        <v>28.429936010386719</v>
      </c>
      <c r="I33" t="b">
        <v>0</v>
      </c>
      <c r="J33" t="s">
        <v>22</v>
      </c>
      <c r="K33" t="s">
        <v>88</v>
      </c>
      <c r="L33" t="s">
        <v>24</v>
      </c>
      <c r="M33">
        <v>2.2241667731362931</v>
      </c>
      <c r="N33">
        <v>1.51724538630175E-2</v>
      </c>
      <c r="O33">
        <v>3003</v>
      </c>
      <c r="P33" t="s">
        <v>92</v>
      </c>
      <c r="Q33">
        <v>1</v>
      </c>
      <c r="R33">
        <v>-0.39523933793264487</v>
      </c>
      <c r="S33">
        <v>0.938276289737762</v>
      </c>
    </row>
    <row r="34" spans="1:19" x14ac:dyDescent="0.2">
      <c r="A34" t="s">
        <v>93</v>
      </c>
      <c r="B34" t="s">
        <v>86</v>
      </c>
      <c r="C34" t="s">
        <v>94</v>
      </c>
      <c r="D34">
        <v>280</v>
      </c>
      <c r="E34">
        <v>59.898796943586397</v>
      </c>
      <c r="F34">
        <v>37.469517151682652</v>
      </c>
      <c r="G34">
        <v>49208</v>
      </c>
      <c r="H34">
        <v>3.426620088707462</v>
      </c>
      <c r="I34" t="b">
        <v>0</v>
      </c>
      <c r="J34" t="s">
        <v>22</v>
      </c>
      <c r="K34" t="s">
        <v>88</v>
      </c>
      <c r="L34" t="s">
        <v>24</v>
      </c>
      <c r="M34">
        <v>2.0877932823101069</v>
      </c>
      <c r="N34">
        <v>1.9052147234384759E-5</v>
      </c>
      <c r="O34">
        <v>2481</v>
      </c>
      <c r="P34" t="s">
        <v>95</v>
      </c>
      <c r="Q34">
        <v>1</v>
      </c>
      <c r="R34">
        <v>-1.3678839080334979</v>
      </c>
      <c r="S34">
        <v>0.22185638811826719</v>
      </c>
    </row>
    <row r="35" spans="1:19" x14ac:dyDescent="0.2">
      <c r="A35" t="s">
        <v>96</v>
      </c>
      <c r="B35" t="s">
        <v>86</v>
      </c>
      <c r="C35" t="s">
        <v>97</v>
      </c>
      <c r="D35">
        <v>6</v>
      </c>
      <c r="E35">
        <v>27.11547775548329</v>
      </c>
      <c r="F35">
        <v>8.216287275998063</v>
      </c>
      <c r="G35">
        <v>28906</v>
      </c>
      <c r="H35">
        <v>14.12103746397695</v>
      </c>
      <c r="I35" t="b">
        <v>0</v>
      </c>
      <c r="J35" t="s">
        <v>22</v>
      </c>
      <c r="K35" t="s">
        <v>88</v>
      </c>
      <c r="L35" t="s">
        <v>24</v>
      </c>
      <c r="M35">
        <v>2.0377849987079788</v>
      </c>
      <c r="N35">
        <v>1.51724538630175E-2</v>
      </c>
      <c r="O35">
        <v>3674</v>
      </c>
      <c r="P35" t="s">
        <v>92</v>
      </c>
      <c r="Q35">
        <v>1</v>
      </c>
      <c r="R35">
        <v>-0.68590151921165321</v>
      </c>
      <c r="S35">
        <v>1</v>
      </c>
    </row>
    <row r="36" spans="1:19" x14ac:dyDescent="0.2">
      <c r="A36" t="s">
        <v>98</v>
      </c>
      <c r="B36" t="s">
        <v>86</v>
      </c>
      <c r="C36" t="s">
        <v>99</v>
      </c>
      <c r="D36">
        <v>454</v>
      </c>
      <c r="E36">
        <v>83.107843137254903</v>
      </c>
      <c r="F36">
        <v>9.9601307189542485</v>
      </c>
      <c r="G36">
        <v>153000</v>
      </c>
      <c r="H36">
        <v>6.8504493095974466</v>
      </c>
      <c r="I36" t="b">
        <v>0</v>
      </c>
      <c r="J36" t="s">
        <v>22</v>
      </c>
      <c r="K36" t="s">
        <v>88</v>
      </c>
      <c r="L36" t="s">
        <v>24</v>
      </c>
      <c r="M36">
        <v>2.0319584534043882</v>
      </c>
      <c r="N36">
        <v>1.13688653733143E-2</v>
      </c>
      <c r="O36">
        <v>9601</v>
      </c>
      <c r="P36" t="s">
        <v>89</v>
      </c>
      <c r="Q36">
        <v>1</v>
      </c>
      <c r="R36">
        <v>-0.212071667657483</v>
      </c>
      <c r="S36">
        <v>0.87166374160698423</v>
      </c>
    </row>
    <row r="37" spans="1:19" x14ac:dyDescent="0.2">
      <c r="A37" t="s">
        <v>100</v>
      </c>
      <c r="B37" t="s">
        <v>86</v>
      </c>
      <c r="C37" t="s">
        <v>101</v>
      </c>
      <c r="D37">
        <v>220</v>
      </c>
      <c r="E37">
        <v>63.170357377768042</v>
      </c>
      <c r="F37">
        <v>3.9158079368559529</v>
      </c>
      <c r="G37">
        <v>22805</v>
      </c>
      <c r="H37">
        <v>11.56396633962849</v>
      </c>
      <c r="I37" t="b">
        <v>0</v>
      </c>
      <c r="J37" t="s">
        <v>22</v>
      </c>
      <c r="K37" t="s">
        <v>88</v>
      </c>
      <c r="L37" t="s">
        <v>24</v>
      </c>
      <c r="M37">
        <v>2.4155255687591972</v>
      </c>
      <c r="N37">
        <v>3.3027564471650001E-4</v>
      </c>
      <c r="O37">
        <v>911</v>
      </c>
      <c r="P37" t="s">
        <v>89</v>
      </c>
      <c r="Q37">
        <v>1</v>
      </c>
      <c r="R37">
        <v>-1.8959140346585659</v>
      </c>
      <c r="S37">
        <v>8.5395774853030005E-4</v>
      </c>
    </row>
    <row r="38" spans="1:19" s="4" customFormat="1" ht="16" thickBot="1" x14ac:dyDescent="0.25">
      <c r="A38" s="4" t="s">
        <v>102</v>
      </c>
      <c r="B38" s="4" t="s">
        <v>86</v>
      </c>
      <c r="C38" s="4" t="s">
        <v>103</v>
      </c>
      <c r="D38" s="4">
        <v>106</v>
      </c>
      <c r="E38" s="4">
        <v>56.52328791521952</v>
      </c>
      <c r="F38" s="4">
        <v>7.1333155223083091</v>
      </c>
      <c r="G38" s="4">
        <v>11229</v>
      </c>
      <c r="H38" s="4">
        <v>5.2485022360982194</v>
      </c>
      <c r="I38" s="4" t="b">
        <v>1</v>
      </c>
      <c r="J38" s="4" t="s">
        <v>22</v>
      </c>
      <c r="K38" s="4" t="s">
        <v>88</v>
      </c>
      <c r="L38" s="4" t="s">
        <v>24</v>
      </c>
      <c r="M38" s="4">
        <v>2.3227137881514421</v>
      </c>
      <c r="N38" s="4">
        <v>4.1697545062092996E-3</v>
      </c>
      <c r="O38" s="4">
        <v>659</v>
      </c>
      <c r="P38" s="4" t="s">
        <v>92</v>
      </c>
      <c r="Q38" s="4">
        <v>1</v>
      </c>
      <c r="R38" s="4">
        <v>-1.2697278919036949</v>
      </c>
      <c r="S38" s="4">
        <v>0.2410578827788061</v>
      </c>
    </row>
    <row r="39" spans="1:19" s="5" customFormat="1" ht="16" thickBot="1" x14ac:dyDescent="0.25">
      <c r="A39" s="5" t="s">
        <v>104</v>
      </c>
      <c r="B39" s="5" t="s">
        <v>105</v>
      </c>
      <c r="C39" s="5" t="s">
        <v>106</v>
      </c>
      <c r="D39" s="5">
        <v>261</v>
      </c>
      <c r="E39" s="5">
        <v>25.86541858000707</v>
      </c>
      <c r="F39" s="5">
        <v>74.134581419992941</v>
      </c>
      <c r="G39" s="5">
        <v>22648</v>
      </c>
      <c r="H39" s="5">
        <v>13.6231884057971</v>
      </c>
      <c r="I39" s="5" t="b">
        <v>0</v>
      </c>
      <c r="J39" s="5" t="s">
        <v>22</v>
      </c>
      <c r="K39" s="5" t="s">
        <v>107</v>
      </c>
      <c r="L39" s="5" t="s">
        <v>24</v>
      </c>
      <c r="M39" s="5">
        <v>2.7013723165800712</v>
      </c>
      <c r="N39" s="5">
        <v>3.5606472530050001E-4</v>
      </c>
      <c r="O39" s="5">
        <v>248</v>
      </c>
      <c r="P39" s="5" t="s">
        <v>108</v>
      </c>
      <c r="Q39" s="5">
        <v>1</v>
      </c>
      <c r="R39" s="5">
        <v>0.18357269348831609</v>
      </c>
      <c r="S39" s="5">
        <v>0.39811474258332757</v>
      </c>
    </row>
    <row r="40" spans="1:19" x14ac:dyDescent="0.2">
      <c r="A40" t="s">
        <v>109</v>
      </c>
      <c r="B40" t="s">
        <v>110</v>
      </c>
      <c r="C40" t="s">
        <v>111</v>
      </c>
      <c r="D40">
        <v>134</v>
      </c>
      <c r="E40">
        <v>75.04853402359501</v>
      </c>
      <c r="F40">
        <v>4.8061127980486829</v>
      </c>
      <c r="G40">
        <v>40178</v>
      </c>
      <c r="H40">
        <v>13.49151666523125</v>
      </c>
      <c r="I40" t="b">
        <v>1</v>
      </c>
      <c r="J40" t="s">
        <v>22</v>
      </c>
      <c r="K40" t="s">
        <v>107</v>
      </c>
      <c r="L40" t="s">
        <v>24</v>
      </c>
      <c r="M40">
        <v>2.0872683411875528</v>
      </c>
      <c r="N40">
        <v>3.6297210191222902E-2</v>
      </c>
      <c r="O40">
        <v>394</v>
      </c>
      <c r="P40" t="s">
        <v>108</v>
      </c>
      <c r="Q40">
        <v>1</v>
      </c>
      <c r="R40">
        <v>-2.12870158196703E-2</v>
      </c>
      <c r="S40">
        <v>0.54881410841088596</v>
      </c>
    </row>
    <row r="41" spans="1:19" x14ac:dyDescent="0.2">
      <c r="A41" t="s">
        <v>112</v>
      </c>
      <c r="B41" t="s">
        <v>110</v>
      </c>
      <c r="C41" t="s">
        <v>113</v>
      </c>
      <c r="D41">
        <v>51</v>
      </c>
      <c r="E41">
        <v>69.22634656644837</v>
      </c>
      <c r="F41">
        <v>4.2686261586571499</v>
      </c>
      <c r="G41">
        <v>71311</v>
      </c>
      <c r="H41">
        <v>15.7677769903142</v>
      </c>
      <c r="I41" t="b">
        <v>0</v>
      </c>
      <c r="J41" t="s">
        <v>22</v>
      </c>
      <c r="K41" t="s">
        <v>107</v>
      </c>
      <c r="L41" t="s">
        <v>24</v>
      </c>
      <c r="M41">
        <v>3.5722722360017309</v>
      </c>
      <c r="N41">
        <v>7.8666402241085003E-3</v>
      </c>
      <c r="O41">
        <v>1705</v>
      </c>
      <c r="P41" t="s">
        <v>114</v>
      </c>
      <c r="Q41">
        <v>1</v>
      </c>
      <c r="R41">
        <v>0.39096500088498271</v>
      </c>
      <c r="S41">
        <v>0.12547914992671011</v>
      </c>
    </row>
    <row r="42" spans="1:19" x14ac:dyDescent="0.2">
      <c r="A42" t="s">
        <v>115</v>
      </c>
      <c r="B42" t="s">
        <v>110</v>
      </c>
      <c r="C42" t="s">
        <v>116</v>
      </c>
      <c r="D42">
        <v>54</v>
      </c>
      <c r="E42">
        <v>31.903740983666129</v>
      </c>
      <c r="F42">
        <v>67.387670560875009</v>
      </c>
      <c r="G42">
        <v>110078</v>
      </c>
      <c r="H42">
        <v>30.612322083685282</v>
      </c>
      <c r="I42" t="b">
        <v>1</v>
      </c>
      <c r="J42" t="s">
        <v>22</v>
      </c>
      <c r="K42" t="s">
        <v>107</v>
      </c>
      <c r="L42" t="s">
        <v>24</v>
      </c>
      <c r="M42">
        <v>2.3680411323180768</v>
      </c>
      <c r="N42">
        <v>2.9457359284714602E-2</v>
      </c>
      <c r="O42">
        <v>1922</v>
      </c>
      <c r="P42" t="s">
        <v>108</v>
      </c>
      <c r="Q42">
        <v>1</v>
      </c>
      <c r="R42">
        <v>1.3957983419417821</v>
      </c>
      <c r="S42">
        <v>9.5728198378919999E-4</v>
      </c>
    </row>
    <row r="43" spans="1:19" s="4" customFormat="1" ht="16" thickBot="1" x14ac:dyDescent="0.25">
      <c r="A43" s="4" t="s">
        <v>117</v>
      </c>
      <c r="B43" s="4" t="s">
        <v>110</v>
      </c>
      <c r="C43" s="4" t="s">
        <v>118</v>
      </c>
      <c r="D43" s="4">
        <v>263</v>
      </c>
      <c r="E43" s="4">
        <v>48.033060478423273</v>
      </c>
      <c r="F43" s="4">
        <v>13.507112771199241</v>
      </c>
      <c r="G43" s="4">
        <v>125830</v>
      </c>
      <c r="H43" s="4">
        <v>26.851954121880471</v>
      </c>
      <c r="I43" s="4" t="b">
        <v>0</v>
      </c>
      <c r="J43" s="4" t="s">
        <v>22</v>
      </c>
      <c r="K43" s="4" t="s">
        <v>107</v>
      </c>
      <c r="L43" s="4" t="s">
        <v>24</v>
      </c>
      <c r="M43" s="4">
        <v>2.3641980852955111</v>
      </c>
      <c r="N43" s="4">
        <v>2.2098230478405499E-2</v>
      </c>
      <c r="O43" s="4">
        <v>2787</v>
      </c>
      <c r="P43" s="4" t="s">
        <v>108</v>
      </c>
      <c r="Q43" s="4">
        <v>1</v>
      </c>
      <c r="R43" s="4">
        <v>0.84630365309540567</v>
      </c>
      <c r="S43" s="4">
        <v>2.87816304189011E-2</v>
      </c>
    </row>
    <row r="44" spans="1:19" x14ac:dyDescent="0.2">
      <c r="A44" t="s">
        <v>119</v>
      </c>
      <c r="B44" t="s">
        <v>120</v>
      </c>
      <c r="C44" t="s">
        <v>121</v>
      </c>
      <c r="D44">
        <v>58</v>
      </c>
      <c r="E44">
        <v>53.528971262753913</v>
      </c>
      <c r="F44">
        <v>3.9564416986489439</v>
      </c>
      <c r="G44">
        <v>64098</v>
      </c>
      <c r="H44">
        <v>36.228510028653297</v>
      </c>
      <c r="I44" t="b">
        <v>1</v>
      </c>
      <c r="J44" t="s">
        <v>22</v>
      </c>
      <c r="K44" t="s">
        <v>107</v>
      </c>
      <c r="L44" t="s">
        <v>24</v>
      </c>
      <c r="M44">
        <v>2.2993681982012499</v>
      </c>
      <c r="N44">
        <v>1.4423499357598501E-2</v>
      </c>
      <c r="O44">
        <v>2544</v>
      </c>
      <c r="P44" t="s">
        <v>108</v>
      </c>
      <c r="Q44">
        <v>1</v>
      </c>
      <c r="R44">
        <v>0.34677567294722522</v>
      </c>
      <c r="S44">
        <v>0.1097822499768841</v>
      </c>
    </row>
    <row r="45" spans="1:19" x14ac:dyDescent="0.2">
      <c r="A45" t="s">
        <v>122</v>
      </c>
      <c r="B45" t="s">
        <v>120</v>
      </c>
      <c r="C45" t="s">
        <v>123</v>
      </c>
      <c r="D45">
        <v>13</v>
      </c>
      <c r="E45">
        <v>49.920087624199468</v>
      </c>
      <c r="F45">
        <v>3.764264079666491</v>
      </c>
      <c r="G45">
        <v>89473</v>
      </c>
      <c r="H45">
        <v>11.403222133103601</v>
      </c>
      <c r="I45" t="b">
        <v>0</v>
      </c>
      <c r="J45" t="s">
        <v>22</v>
      </c>
      <c r="K45" t="s">
        <v>107</v>
      </c>
      <c r="L45" t="s">
        <v>24</v>
      </c>
      <c r="M45">
        <v>2.3790983428766079</v>
      </c>
      <c r="N45">
        <v>2.10284225214886E-2</v>
      </c>
      <c r="O45">
        <v>1907</v>
      </c>
      <c r="P45" t="s">
        <v>108</v>
      </c>
      <c r="Q45">
        <v>1</v>
      </c>
      <c r="R45">
        <v>0.66471509741666279</v>
      </c>
      <c r="S45">
        <v>6.8905048364611601E-2</v>
      </c>
    </row>
    <row r="46" spans="1:19" s="4" customFormat="1" ht="16" thickBot="1" x14ac:dyDescent="0.25">
      <c r="A46" s="4" t="s">
        <v>124</v>
      </c>
      <c r="B46" s="4" t="s">
        <v>120</v>
      </c>
      <c r="C46" s="4" t="s">
        <v>125</v>
      </c>
      <c r="D46" s="4">
        <v>13</v>
      </c>
      <c r="E46" s="4">
        <v>50.311500942700228</v>
      </c>
      <c r="F46" s="4">
        <v>1.8874497909664729</v>
      </c>
      <c r="G46" s="4">
        <v>48796</v>
      </c>
      <c r="H46" s="4">
        <v>34.728055860242378</v>
      </c>
      <c r="I46" s="4" t="b">
        <v>0</v>
      </c>
      <c r="J46" s="4" t="s">
        <v>22</v>
      </c>
      <c r="K46" s="4" t="s">
        <v>107</v>
      </c>
      <c r="L46" s="4" t="s">
        <v>24</v>
      </c>
      <c r="M46" s="4">
        <v>2.0511298392526189</v>
      </c>
      <c r="N46" s="4">
        <v>2.9457359284714602E-2</v>
      </c>
      <c r="O46" s="4">
        <v>1906</v>
      </c>
      <c r="P46" s="4" t="s">
        <v>108</v>
      </c>
      <c r="Q46" s="4">
        <v>1</v>
      </c>
      <c r="R46" s="4">
        <v>0.72187707071492546</v>
      </c>
      <c r="S46" s="4">
        <v>3.2235676508479798E-2</v>
      </c>
    </row>
    <row r="47" spans="1:19" x14ac:dyDescent="0.2">
      <c r="A47" t="s">
        <v>126</v>
      </c>
      <c r="B47" t="s">
        <v>127</v>
      </c>
      <c r="C47" t="s">
        <v>128</v>
      </c>
      <c r="D47">
        <v>225</v>
      </c>
      <c r="E47">
        <v>49.117130674692753</v>
      </c>
      <c r="F47">
        <v>41.442187108101329</v>
      </c>
      <c r="G47">
        <v>39870</v>
      </c>
      <c r="H47">
        <v>3.9693626860638762</v>
      </c>
      <c r="I47" t="b">
        <v>0</v>
      </c>
      <c r="J47" t="s">
        <v>22</v>
      </c>
      <c r="K47" t="s">
        <v>88</v>
      </c>
      <c r="L47" t="s">
        <v>24</v>
      </c>
      <c r="M47">
        <v>2.0931237839993759</v>
      </c>
      <c r="N47">
        <v>1.8666519950648731E-7</v>
      </c>
      <c r="O47">
        <v>2301</v>
      </c>
      <c r="P47" t="s">
        <v>95</v>
      </c>
      <c r="Q47">
        <v>1</v>
      </c>
      <c r="R47">
        <v>-0.36564487280961272</v>
      </c>
      <c r="S47">
        <v>1</v>
      </c>
    </row>
    <row r="48" spans="1:19" x14ac:dyDescent="0.2">
      <c r="A48" t="s">
        <v>129</v>
      </c>
      <c r="B48" t="s">
        <v>127</v>
      </c>
      <c r="C48" t="s">
        <v>130</v>
      </c>
      <c r="D48">
        <v>247</v>
      </c>
      <c r="E48">
        <v>24.345527415366249</v>
      </c>
      <c r="F48">
        <v>56.901168244222731</v>
      </c>
      <c r="G48">
        <v>58635</v>
      </c>
      <c r="H48">
        <v>3.5021312311768669</v>
      </c>
      <c r="I48" t="b">
        <v>0</v>
      </c>
      <c r="J48" t="s">
        <v>22</v>
      </c>
      <c r="K48" t="s">
        <v>88</v>
      </c>
      <c r="L48" t="s">
        <v>24</v>
      </c>
      <c r="M48">
        <v>2.0424006990739461</v>
      </c>
      <c r="N48">
        <v>1.51724538630175E-2</v>
      </c>
      <c r="O48">
        <v>1781</v>
      </c>
      <c r="P48" t="s">
        <v>92</v>
      </c>
      <c r="Q48">
        <v>1</v>
      </c>
      <c r="R48">
        <v>-0.51959479826731192</v>
      </c>
      <c r="S48">
        <v>0.90408429804110479</v>
      </c>
    </row>
    <row r="49" spans="1:19" x14ac:dyDescent="0.2">
      <c r="A49" t="s">
        <v>131</v>
      </c>
      <c r="B49" t="s">
        <v>127</v>
      </c>
      <c r="C49" t="s">
        <v>132</v>
      </c>
      <c r="D49">
        <v>74</v>
      </c>
      <c r="E49">
        <v>75.014144716162704</v>
      </c>
      <c r="F49">
        <v>24.982712013578929</v>
      </c>
      <c r="G49">
        <v>31814</v>
      </c>
      <c r="H49">
        <v>3.5705625606207572</v>
      </c>
      <c r="I49" t="b">
        <v>1</v>
      </c>
      <c r="J49" t="s">
        <v>22</v>
      </c>
      <c r="K49" t="s">
        <v>88</v>
      </c>
      <c r="L49" t="s">
        <v>24</v>
      </c>
      <c r="M49">
        <v>2.021349520727183</v>
      </c>
      <c r="N49">
        <v>1.51724538630175E-2</v>
      </c>
      <c r="O49">
        <v>1974</v>
      </c>
      <c r="P49" t="s">
        <v>92</v>
      </c>
      <c r="Q49">
        <v>1</v>
      </c>
      <c r="R49">
        <v>-1.15857378320286</v>
      </c>
      <c r="S49">
        <v>0.59497067544441862</v>
      </c>
    </row>
    <row r="50" spans="1:19" x14ac:dyDescent="0.2">
      <c r="A50" t="s">
        <v>133</v>
      </c>
      <c r="B50" t="s">
        <v>127</v>
      </c>
      <c r="C50" t="s">
        <v>134</v>
      </c>
      <c r="D50">
        <v>90</v>
      </c>
      <c r="E50">
        <v>38.564198840910947</v>
      </c>
      <c r="F50">
        <v>23.104236388866219</v>
      </c>
      <c r="G50">
        <v>49004</v>
      </c>
      <c r="H50">
        <v>2.4970652022523332</v>
      </c>
      <c r="I50" t="b">
        <v>1</v>
      </c>
      <c r="J50" t="s">
        <v>22</v>
      </c>
      <c r="K50" t="s">
        <v>135</v>
      </c>
      <c r="L50" t="s">
        <v>24</v>
      </c>
      <c r="M50">
        <v>4.4365573865974444</v>
      </c>
      <c r="N50">
        <v>4.7316631883730998E-3</v>
      </c>
      <c r="O50">
        <v>1127</v>
      </c>
      <c r="P50" t="s">
        <v>136</v>
      </c>
      <c r="Q50">
        <v>2</v>
      </c>
      <c r="R50">
        <v>-0.58660071535068536</v>
      </c>
      <c r="S50">
        <v>1</v>
      </c>
    </row>
    <row r="51" spans="1:19" x14ac:dyDescent="0.2">
      <c r="A51" t="s">
        <v>137</v>
      </c>
      <c r="B51" t="s">
        <v>127</v>
      </c>
      <c r="C51" t="s">
        <v>138</v>
      </c>
      <c r="D51">
        <v>184</v>
      </c>
      <c r="E51">
        <v>20.692046487158638</v>
      </c>
      <c r="F51">
        <v>69.061169831173174</v>
      </c>
      <c r="G51">
        <v>41818</v>
      </c>
      <c r="H51">
        <v>2.9474563683624209</v>
      </c>
      <c r="I51" t="b">
        <v>0</v>
      </c>
      <c r="J51" t="s">
        <v>22</v>
      </c>
      <c r="K51" t="s">
        <v>88</v>
      </c>
      <c r="L51" t="s">
        <v>24</v>
      </c>
      <c r="M51">
        <v>2.1862252404735751</v>
      </c>
      <c r="N51">
        <v>1.50066968748529E-2</v>
      </c>
      <c r="O51">
        <v>2149</v>
      </c>
      <c r="P51" t="s">
        <v>92</v>
      </c>
      <c r="Q51">
        <v>1</v>
      </c>
      <c r="R51">
        <v>-7.7976108532545094E-2</v>
      </c>
      <c r="S51">
        <v>0.65825260168274691</v>
      </c>
    </row>
    <row r="52" spans="1:19" x14ac:dyDescent="0.2">
      <c r="A52" t="s">
        <v>139</v>
      </c>
      <c r="B52" t="s">
        <v>127</v>
      </c>
      <c r="C52" t="s">
        <v>140</v>
      </c>
      <c r="D52">
        <v>101</v>
      </c>
      <c r="E52">
        <v>39.165385979430198</v>
      </c>
      <c r="F52">
        <v>0.67383851519092097</v>
      </c>
      <c r="G52">
        <v>8459</v>
      </c>
      <c r="H52">
        <v>1.799396331553285</v>
      </c>
      <c r="I52" t="b">
        <v>1</v>
      </c>
      <c r="J52" t="s">
        <v>22</v>
      </c>
      <c r="K52" t="s">
        <v>88</v>
      </c>
      <c r="L52" t="s">
        <v>24</v>
      </c>
      <c r="M52">
        <v>2.010461021898573</v>
      </c>
      <c r="N52">
        <v>1.51724538630175E-2</v>
      </c>
      <c r="O52">
        <v>628</v>
      </c>
      <c r="P52" t="s">
        <v>92</v>
      </c>
      <c r="Q52">
        <v>1</v>
      </c>
      <c r="R52">
        <v>-1.9238474910147949</v>
      </c>
      <c r="S52">
        <v>1.33634270774952E-2</v>
      </c>
    </row>
    <row r="53" spans="1:19" x14ac:dyDescent="0.2">
      <c r="A53" t="s">
        <v>141</v>
      </c>
      <c r="B53" t="s">
        <v>127</v>
      </c>
      <c r="C53" t="s">
        <v>142</v>
      </c>
      <c r="D53">
        <v>101</v>
      </c>
      <c r="E53">
        <v>78.089203022178893</v>
      </c>
      <c r="F53">
        <v>3.972702900316841</v>
      </c>
      <c r="G53">
        <v>16412</v>
      </c>
      <c r="H53">
        <v>13.33368537783176</v>
      </c>
      <c r="I53" t="b">
        <v>1</v>
      </c>
      <c r="J53" t="s">
        <v>22</v>
      </c>
      <c r="K53" t="s">
        <v>88</v>
      </c>
      <c r="L53" t="s">
        <v>24</v>
      </c>
      <c r="M53">
        <v>2.2203971419760129</v>
      </c>
      <c r="N53">
        <v>5.7636815209491854E-6</v>
      </c>
      <c r="O53">
        <v>1289</v>
      </c>
      <c r="P53" t="s">
        <v>95</v>
      </c>
      <c r="Q53">
        <v>1</v>
      </c>
      <c r="R53">
        <v>-1.4273975672115311</v>
      </c>
      <c r="S53">
        <v>9.2109094162847998E-3</v>
      </c>
    </row>
    <row r="54" spans="1:19" x14ac:dyDescent="0.2">
      <c r="A54" t="s">
        <v>143</v>
      </c>
      <c r="B54" t="s">
        <v>127</v>
      </c>
      <c r="C54" t="s">
        <v>144</v>
      </c>
      <c r="D54">
        <v>97</v>
      </c>
      <c r="E54">
        <v>23.64773702931436</v>
      </c>
      <c r="F54">
        <v>72.455946686291341</v>
      </c>
      <c r="G54">
        <v>24459</v>
      </c>
      <c r="H54">
        <v>10.33762234686022</v>
      </c>
      <c r="I54" t="b">
        <v>1</v>
      </c>
      <c r="J54" t="s">
        <v>22</v>
      </c>
      <c r="K54" t="s">
        <v>135</v>
      </c>
      <c r="L54" t="s">
        <v>24</v>
      </c>
      <c r="M54">
        <v>2.6145128318408921</v>
      </c>
      <c r="N54">
        <v>8.2413605181360008E-3</v>
      </c>
      <c r="O54">
        <v>1068</v>
      </c>
      <c r="P54" t="s">
        <v>145</v>
      </c>
      <c r="Q54">
        <v>1</v>
      </c>
      <c r="R54">
        <v>-0.77128438568317648</v>
      </c>
      <c r="S54">
        <v>1</v>
      </c>
    </row>
    <row r="55" spans="1:19" s="4" customFormat="1" ht="16" thickBot="1" x14ac:dyDescent="0.25">
      <c r="A55" s="4" t="s">
        <v>146</v>
      </c>
      <c r="B55" s="4" t="s">
        <v>127</v>
      </c>
      <c r="C55" s="4" t="s">
        <v>147</v>
      </c>
      <c r="D55" s="4">
        <v>83</v>
      </c>
      <c r="E55" s="4">
        <v>46.151972722844619</v>
      </c>
      <c r="F55" s="4">
        <v>5.7650824577273676</v>
      </c>
      <c r="G55" s="4">
        <v>28742</v>
      </c>
      <c r="H55" s="4">
        <v>2.390817088908511</v>
      </c>
      <c r="I55" s="4" t="b">
        <v>0</v>
      </c>
      <c r="J55" s="4" t="s">
        <v>22</v>
      </c>
      <c r="K55" s="4" t="s">
        <v>135</v>
      </c>
      <c r="L55" s="4" t="s">
        <v>24</v>
      </c>
      <c r="M55" s="4">
        <v>2.8486869756486302</v>
      </c>
      <c r="N55" s="4">
        <v>8.2413605181360008E-3</v>
      </c>
      <c r="O55" s="4">
        <v>461</v>
      </c>
      <c r="P55" s="4" t="s">
        <v>145</v>
      </c>
      <c r="Q55" s="4">
        <v>2</v>
      </c>
      <c r="R55" s="4">
        <v>-0.74053527357209825</v>
      </c>
      <c r="S55" s="4">
        <v>1</v>
      </c>
    </row>
    <row r="56" spans="1:19" x14ac:dyDescent="0.2">
      <c r="A56" t="s">
        <v>148</v>
      </c>
      <c r="B56" t="s">
        <v>149</v>
      </c>
      <c r="C56" t="s">
        <v>150</v>
      </c>
      <c r="D56">
        <v>343</v>
      </c>
      <c r="E56">
        <v>20.388763077939519</v>
      </c>
      <c r="F56">
        <v>79.589503744626469</v>
      </c>
      <c r="G56">
        <v>230063</v>
      </c>
      <c r="H56">
        <v>4.8524375920197187</v>
      </c>
      <c r="I56" t="b">
        <v>0</v>
      </c>
      <c r="J56" t="s">
        <v>22</v>
      </c>
      <c r="K56" t="s">
        <v>88</v>
      </c>
      <c r="L56" t="s">
        <v>24</v>
      </c>
      <c r="M56">
        <v>2.3464763248235658</v>
      </c>
      <c r="N56">
        <v>2.0705792511768999E-3</v>
      </c>
      <c r="O56">
        <v>11531</v>
      </c>
      <c r="P56" t="s">
        <v>92</v>
      </c>
      <c r="Q56">
        <v>1</v>
      </c>
      <c r="R56">
        <v>-0.64379121043473275</v>
      </c>
      <c r="S56">
        <v>1</v>
      </c>
    </row>
    <row r="57" spans="1:19" x14ac:dyDescent="0.2">
      <c r="A57" t="s">
        <v>151</v>
      </c>
      <c r="B57" t="s">
        <v>149</v>
      </c>
      <c r="C57" t="s">
        <v>152</v>
      </c>
      <c r="D57">
        <v>159</v>
      </c>
      <c r="E57">
        <v>29.84343977811794</v>
      </c>
      <c r="F57">
        <v>37.278913626650088</v>
      </c>
      <c r="G57">
        <v>65981</v>
      </c>
      <c r="H57">
        <v>3.0603549600376119</v>
      </c>
      <c r="I57" t="b">
        <v>1</v>
      </c>
      <c r="J57" t="s">
        <v>22</v>
      </c>
      <c r="K57" t="s">
        <v>88</v>
      </c>
      <c r="L57" t="s">
        <v>24</v>
      </c>
      <c r="M57">
        <v>2.638580591940586</v>
      </c>
      <c r="N57">
        <v>9.6665370076910002E-4</v>
      </c>
      <c r="O57">
        <v>4152</v>
      </c>
      <c r="P57" t="s">
        <v>92</v>
      </c>
      <c r="Q57">
        <v>1</v>
      </c>
      <c r="R57">
        <v>-0.4772985923939812</v>
      </c>
      <c r="S57">
        <v>1</v>
      </c>
    </row>
    <row r="58" spans="1:19" x14ac:dyDescent="0.2">
      <c r="A58" t="s">
        <v>153</v>
      </c>
      <c r="B58" t="s">
        <v>149</v>
      </c>
      <c r="C58" t="s">
        <v>154</v>
      </c>
      <c r="D58">
        <v>162</v>
      </c>
      <c r="E58">
        <v>72.833935018050539</v>
      </c>
      <c r="F58">
        <v>15.63176895306859</v>
      </c>
      <c r="G58">
        <v>27700</v>
      </c>
      <c r="H58">
        <v>6.8782357291736709</v>
      </c>
      <c r="I58" t="b">
        <v>0</v>
      </c>
      <c r="J58" t="s">
        <v>22</v>
      </c>
      <c r="K58" t="s">
        <v>88</v>
      </c>
      <c r="L58" t="s">
        <v>24</v>
      </c>
      <c r="M58">
        <v>2.1823589398262979</v>
      </c>
      <c r="N58">
        <v>1.51724538630175E-2</v>
      </c>
      <c r="O58">
        <v>1887</v>
      </c>
      <c r="P58" t="s">
        <v>92</v>
      </c>
      <c r="Q58">
        <v>1</v>
      </c>
      <c r="R58">
        <v>-1.325596271966595</v>
      </c>
      <c r="S58">
        <v>0.25493356938324119</v>
      </c>
    </row>
    <row r="59" spans="1:19" x14ac:dyDescent="0.2">
      <c r="A59" t="s">
        <v>155</v>
      </c>
      <c r="B59" t="s">
        <v>149</v>
      </c>
      <c r="C59" s="10" t="s">
        <v>156</v>
      </c>
      <c r="D59">
        <v>1</v>
      </c>
      <c r="E59">
        <v>85.937091574453248</v>
      </c>
      <c r="F59">
        <v>5.5452519946725749</v>
      </c>
      <c r="G59">
        <v>160678</v>
      </c>
      <c r="H59">
        <v>10.678370310250321</v>
      </c>
      <c r="I59" t="b">
        <v>0</v>
      </c>
      <c r="J59" t="s">
        <v>22</v>
      </c>
      <c r="K59" t="s">
        <v>88</v>
      </c>
      <c r="L59" t="s">
        <v>24</v>
      </c>
      <c r="M59">
        <v>2.042746438548666</v>
      </c>
      <c r="N59">
        <v>5.4847732448140996E-3</v>
      </c>
      <c r="O59">
        <v>10272</v>
      </c>
      <c r="P59" t="s">
        <v>92</v>
      </c>
      <c r="Q59">
        <v>1</v>
      </c>
      <c r="R59">
        <v>-0.4219206470318877</v>
      </c>
      <c r="S59">
        <v>1</v>
      </c>
    </row>
    <row r="60" spans="1:19" x14ac:dyDescent="0.2">
      <c r="A60" t="s">
        <v>157</v>
      </c>
      <c r="B60" t="s">
        <v>149</v>
      </c>
      <c r="C60" t="s">
        <v>158</v>
      </c>
      <c r="D60">
        <v>135</v>
      </c>
      <c r="E60">
        <v>33.18890015672536</v>
      </c>
      <c r="F60">
        <v>6.9881073107771741</v>
      </c>
      <c r="G60">
        <v>32541</v>
      </c>
      <c r="H60">
        <v>4.2939913531954943</v>
      </c>
      <c r="I60" t="b">
        <v>0</v>
      </c>
      <c r="J60" t="s">
        <v>22</v>
      </c>
      <c r="K60" t="s">
        <v>88</v>
      </c>
      <c r="L60" t="s">
        <v>24</v>
      </c>
      <c r="M60">
        <v>2.3184412389989348</v>
      </c>
      <c r="N60">
        <v>1.51724538630175E-2</v>
      </c>
      <c r="O60">
        <v>1614</v>
      </c>
      <c r="P60" t="s">
        <v>92</v>
      </c>
      <c r="Q60">
        <v>1</v>
      </c>
      <c r="R60">
        <v>-0.97717115073913097</v>
      </c>
      <c r="S60">
        <v>0.81773540873247996</v>
      </c>
    </row>
    <row r="61" spans="1:19" x14ac:dyDescent="0.2">
      <c r="A61" t="s">
        <v>159</v>
      </c>
      <c r="B61" t="s">
        <v>149</v>
      </c>
      <c r="C61" t="s">
        <v>160</v>
      </c>
      <c r="D61">
        <v>53</v>
      </c>
      <c r="E61">
        <v>30.501279932601019</v>
      </c>
      <c r="F61">
        <v>44.911052785068527</v>
      </c>
      <c r="G61">
        <v>30861</v>
      </c>
      <c r="H61">
        <v>4.8381128584643847</v>
      </c>
      <c r="I61" t="b">
        <v>1</v>
      </c>
      <c r="J61" t="s">
        <v>22</v>
      </c>
      <c r="K61" t="s">
        <v>88</v>
      </c>
      <c r="L61" t="s">
        <v>24</v>
      </c>
      <c r="M61">
        <v>2.0940160486705088</v>
      </c>
      <c r="N61">
        <v>8.3800467660818997E-3</v>
      </c>
      <c r="O61">
        <v>1631</v>
      </c>
      <c r="P61" t="s">
        <v>89</v>
      </c>
      <c r="Q61">
        <v>1</v>
      </c>
      <c r="R61">
        <v>-0.88296518500312138</v>
      </c>
      <c r="S61">
        <v>0.81773540873247996</v>
      </c>
    </row>
    <row r="62" spans="1:19" x14ac:dyDescent="0.2">
      <c r="A62" t="s">
        <v>161</v>
      </c>
      <c r="B62" t="s">
        <v>149</v>
      </c>
      <c r="C62" t="s">
        <v>162</v>
      </c>
      <c r="D62">
        <v>168</v>
      </c>
      <c r="E62">
        <v>65.712973593570609</v>
      </c>
      <c r="F62">
        <v>34.102181400688863</v>
      </c>
      <c r="G62">
        <v>87100</v>
      </c>
      <c r="H62">
        <v>4.2225643281284366</v>
      </c>
      <c r="I62" t="b">
        <v>0</v>
      </c>
      <c r="J62" t="s">
        <v>22</v>
      </c>
      <c r="K62" t="s">
        <v>88</v>
      </c>
      <c r="L62" t="s">
        <v>24</v>
      </c>
      <c r="M62">
        <v>2.5177293084748511</v>
      </c>
      <c r="N62">
        <v>4.1697545062092996E-3</v>
      </c>
      <c r="O62">
        <v>4717</v>
      </c>
      <c r="P62" t="s">
        <v>92</v>
      </c>
      <c r="Q62">
        <v>1</v>
      </c>
      <c r="R62">
        <v>-0.32421835940895288</v>
      </c>
      <c r="S62">
        <v>0.79136413026935248</v>
      </c>
    </row>
    <row r="63" spans="1:19" x14ac:dyDescent="0.2">
      <c r="A63" t="s">
        <v>163</v>
      </c>
      <c r="B63" t="s">
        <v>149</v>
      </c>
      <c r="C63" t="s">
        <v>164</v>
      </c>
      <c r="D63">
        <v>287</v>
      </c>
      <c r="E63">
        <v>85.870312380661417</v>
      </c>
      <c r="F63">
        <v>14.104228722727161</v>
      </c>
      <c r="G63">
        <v>78558</v>
      </c>
      <c r="H63">
        <v>5.0337274243852903</v>
      </c>
      <c r="I63" t="b">
        <v>0</v>
      </c>
      <c r="J63" t="s">
        <v>22</v>
      </c>
      <c r="K63" t="s">
        <v>88</v>
      </c>
      <c r="L63" t="s">
        <v>24</v>
      </c>
      <c r="M63">
        <v>2.3711137782254741</v>
      </c>
      <c r="N63">
        <v>1.51724538630175E-2</v>
      </c>
      <c r="O63">
        <v>4346</v>
      </c>
      <c r="P63" t="s">
        <v>92</v>
      </c>
      <c r="Q63">
        <v>1</v>
      </c>
      <c r="R63">
        <v>-0.70859175132310959</v>
      </c>
      <c r="S63">
        <v>1</v>
      </c>
    </row>
    <row r="64" spans="1:19" x14ac:dyDescent="0.2">
      <c r="A64" t="s">
        <v>165</v>
      </c>
      <c r="B64" t="s">
        <v>149</v>
      </c>
      <c r="C64" t="s">
        <v>166</v>
      </c>
      <c r="D64">
        <v>157</v>
      </c>
      <c r="E64">
        <v>27.59297828027373</v>
      </c>
      <c r="F64">
        <v>66.000198353664587</v>
      </c>
      <c r="G64">
        <v>50415</v>
      </c>
      <c r="H64">
        <v>2.1067961165048539</v>
      </c>
      <c r="I64" t="b">
        <v>1</v>
      </c>
      <c r="J64" t="s">
        <v>22</v>
      </c>
      <c r="K64" t="s">
        <v>88</v>
      </c>
      <c r="L64" t="s">
        <v>24</v>
      </c>
      <c r="M64">
        <v>2.1176517241540478</v>
      </c>
      <c r="N64">
        <v>1.51724538630175E-2</v>
      </c>
      <c r="O64">
        <v>2417</v>
      </c>
      <c r="P64" t="s">
        <v>92</v>
      </c>
      <c r="Q64">
        <v>1</v>
      </c>
      <c r="R64">
        <v>-0.84412361999688734</v>
      </c>
      <c r="S64">
        <v>1</v>
      </c>
    </row>
    <row r="65" spans="1:19" x14ac:dyDescent="0.2">
      <c r="A65" t="s">
        <v>167</v>
      </c>
      <c r="B65" t="s">
        <v>149</v>
      </c>
      <c r="C65" s="10" t="s">
        <v>168</v>
      </c>
      <c r="D65">
        <v>1</v>
      </c>
      <c r="E65">
        <v>34.6276736202799</v>
      </c>
      <c r="F65">
        <v>3.6436053164334128</v>
      </c>
      <c r="G65">
        <v>227220</v>
      </c>
      <c r="H65">
        <v>6.0872584191644483</v>
      </c>
      <c r="I65" t="b">
        <v>0</v>
      </c>
      <c r="J65" t="s">
        <v>22</v>
      </c>
      <c r="K65" t="s">
        <v>88</v>
      </c>
      <c r="L65" t="s">
        <v>24</v>
      </c>
      <c r="M65">
        <v>2.1192247514435509</v>
      </c>
      <c r="N65">
        <v>3.1486269905051001E-3</v>
      </c>
      <c r="O65">
        <v>12471</v>
      </c>
      <c r="P65" t="s">
        <v>92</v>
      </c>
      <c r="Q65">
        <v>1</v>
      </c>
      <c r="R65">
        <v>-0.1151181025829692</v>
      </c>
      <c r="S65">
        <v>0.75619914068008443</v>
      </c>
    </row>
    <row r="66" spans="1:19" s="4" customFormat="1" ht="16" thickBot="1" x14ac:dyDescent="0.25">
      <c r="A66" s="4" t="s">
        <v>169</v>
      </c>
      <c r="B66" s="4" t="s">
        <v>149</v>
      </c>
      <c r="C66" s="4" t="s">
        <v>154</v>
      </c>
      <c r="D66" s="4">
        <v>162</v>
      </c>
      <c r="E66" s="4">
        <v>75.233788605881628</v>
      </c>
      <c r="F66" s="4">
        <v>24.372462163159842</v>
      </c>
      <c r="G66" s="4">
        <v>32508</v>
      </c>
      <c r="H66" s="4">
        <v>15.546087498701031</v>
      </c>
      <c r="I66" s="4" t="b">
        <v>0</v>
      </c>
      <c r="J66" s="4" t="s">
        <v>22</v>
      </c>
      <c r="K66" s="4" t="s">
        <v>88</v>
      </c>
      <c r="L66" s="4" t="s">
        <v>24</v>
      </c>
      <c r="M66" s="4">
        <v>2.0117761995595962</v>
      </c>
      <c r="N66" s="4">
        <v>1.51724538630175E-2</v>
      </c>
      <c r="O66" s="4">
        <v>2570</v>
      </c>
      <c r="P66" s="4" t="s">
        <v>92</v>
      </c>
      <c r="Q66" s="4">
        <v>1</v>
      </c>
      <c r="R66" s="4">
        <v>-0.47616423487748122</v>
      </c>
      <c r="S66" s="4">
        <v>1</v>
      </c>
    </row>
    <row r="67" spans="1:19" x14ac:dyDescent="0.2">
      <c r="A67" t="s">
        <v>170</v>
      </c>
      <c r="B67" t="s">
        <v>149</v>
      </c>
      <c r="C67" t="s">
        <v>171</v>
      </c>
      <c r="D67">
        <v>369</v>
      </c>
      <c r="E67">
        <v>59.150993751766137</v>
      </c>
      <c r="F67">
        <v>23.735439103268551</v>
      </c>
      <c r="G67">
        <v>63698</v>
      </c>
      <c r="H67">
        <v>6.9368553312100056</v>
      </c>
      <c r="I67" t="b">
        <v>0</v>
      </c>
      <c r="J67" t="s">
        <v>22</v>
      </c>
      <c r="K67" t="s">
        <v>88</v>
      </c>
      <c r="L67" t="s">
        <v>24</v>
      </c>
      <c r="M67">
        <v>2.1555993801387729</v>
      </c>
      <c r="N67">
        <v>1.883948542536636E-5</v>
      </c>
      <c r="O67">
        <v>4554</v>
      </c>
      <c r="P67" t="s">
        <v>95</v>
      </c>
      <c r="Q67">
        <v>1</v>
      </c>
      <c r="R67">
        <v>-0.53497516302339765</v>
      </c>
      <c r="S67">
        <v>0.99427762170081835</v>
      </c>
    </row>
    <row r="68" spans="1:19" x14ac:dyDescent="0.2">
      <c r="A68" t="s">
        <v>172</v>
      </c>
      <c r="B68" t="s">
        <v>173</v>
      </c>
      <c r="C68" t="s">
        <v>174</v>
      </c>
      <c r="D68">
        <v>162</v>
      </c>
      <c r="E68">
        <v>54.678447827795587</v>
      </c>
      <c r="F68">
        <v>45.125058631137257</v>
      </c>
      <c r="G68">
        <v>78883</v>
      </c>
      <c r="H68">
        <v>11.160789701890909</v>
      </c>
      <c r="I68" t="b">
        <v>0</v>
      </c>
      <c r="J68" t="s">
        <v>22</v>
      </c>
      <c r="K68" t="s">
        <v>135</v>
      </c>
      <c r="L68" t="s">
        <v>24</v>
      </c>
      <c r="M68">
        <v>2.2028007864535581</v>
      </c>
      <c r="N68">
        <v>3.1390168132214201E-2</v>
      </c>
      <c r="O68">
        <v>1020</v>
      </c>
      <c r="P68" t="s">
        <v>145</v>
      </c>
      <c r="Q68">
        <v>1</v>
      </c>
      <c r="R68">
        <v>-0.45658208431281538</v>
      </c>
      <c r="S68">
        <v>1</v>
      </c>
    </row>
    <row r="69" spans="1:19" x14ac:dyDescent="0.2">
      <c r="A69" t="s">
        <v>175</v>
      </c>
      <c r="B69" t="s">
        <v>173</v>
      </c>
      <c r="C69" t="s">
        <v>176</v>
      </c>
      <c r="D69">
        <v>95</v>
      </c>
      <c r="E69">
        <v>75.167912932625541</v>
      </c>
      <c r="F69">
        <v>24.806400669749031</v>
      </c>
      <c r="G69">
        <v>210228</v>
      </c>
      <c r="H69">
        <v>9.861594662733463</v>
      </c>
      <c r="I69" t="b">
        <v>0</v>
      </c>
      <c r="J69" t="s">
        <v>22</v>
      </c>
      <c r="K69" t="s">
        <v>88</v>
      </c>
      <c r="L69" t="s">
        <v>24</v>
      </c>
      <c r="M69">
        <v>2.5047216082712058</v>
      </c>
      <c r="N69">
        <v>3.3927423145869999E-3</v>
      </c>
      <c r="O69">
        <v>13527</v>
      </c>
      <c r="P69" t="s">
        <v>89</v>
      </c>
      <c r="Q69">
        <v>1</v>
      </c>
      <c r="R69">
        <v>-0.33350299349119372</v>
      </c>
      <c r="S69">
        <v>0.9283738573178576</v>
      </c>
    </row>
    <row r="70" spans="1:19" x14ac:dyDescent="0.2">
      <c r="A70" t="s">
        <v>177</v>
      </c>
      <c r="B70" t="s">
        <v>173</v>
      </c>
      <c r="C70" t="s">
        <v>178</v>
      </c>
      <c r="D70">
        <v>283</v>
      </c>
      <c r="E70">
        <v>56.52917967878652</v>
      </c>
      <c r="F70">
        <v>11.44148728530002</v>
      </c>
      <c r="G70">
        <v>286912</v>
      </c>
      <c r="H70">
        <v>5.0211864406779663</v>
      </c>
      <c r="I70" t="b">
        <v>0</v>
      </c>
      <c r="J70" t="s">
        <v>22</v>
      </c>
      <c r="K70" t="s">
        <v>88</v>
      </c>
      <c r="L70" t="s">
        <v>24</v>
      </c>
      <c r="M70">
        <v>2.0823774996718618</v>
      </c>
      <c r="N70">
        <v>1.4783573027083999E-2</v>
      </c>
      <c r="O70">
        <v>21740</v>
      </c>
      <c r="P70" t="s">
        <v>89</v>
      </c>
      <c r="Q70">
        <v>1</v>
      </c>
      <c r="R70">
        <v>0.98506685660688065</v>
      </c>
      <c r="S70">
        <v>6.5881835119936693E-8</v>
      </c>
    </row>
    <row r="71" spans="1:19" x14ac:dyDescent="0.2">
      <c r="A71" t="s">
        <v>179</v>
      </c>
      <c r="B71" t="s">
        <v>173</v>
      </c>
      <c r="C71" t="s">
        <v>180</v>
      </c>
      <c r="D71">
        <v>289</v>
      </c>
      <c r="E71">
        <v>65.573299723999298</v>
      </c>
      <c r="F71">
        <v>8.8415947416282457</v>
      </c>
      <c r="G71">
        <v>62681</v>
      </c>
      <c r="H71">
        <v>46.119329854813337</v>
      </c>
      <c r="I71" t="b">
        <v>0</v>
      </c>
      <c r="J71" t="s">
        <v>22</v>
      </c>
      <c r="K71" t="s">
        <v>88</v>
      </c>
      <c r="L71" t="s">
        <v>24</v>
      </c>
      <c r="M71">
        <v>2.0563018088906548</v>
      </c>
      <c r="N71">
        <v>1.03202603522E-3</v>
      </c>
      <c r="O71">
        <v>23061</v>
      </c>
      <c r="P71" t="s">
        <v>181</v>
      </c>
      <c r="Q71">
        <v>1</v>
      </c>
      <c r="R71">
        <v>0.44841649022006957</v>
      </c>
      <c r="S71">
        <v>1.1705300881604E-2</v>
      </c>
    </row>
    <row r="72" spans="1:19" x14ac:dyDescent="0.2">
      <c r="A72" t="s">
        <v>182</v>
      </c>
      <c r="B72" t="s">
        <v>173</v>
      </c>
      <c r="C72" t="s">
        <v>183</v>
      </c>
      <c r="D72">
        <v>157</v>
      </c>
      <c r="E72">
        <v>72.090143265006063</v>
      </c>
      <c r="F72">
        <v>2.8411519327098969</v>
      </c>
      <c r="G72">
        <v>935888</v>
      </c>
      <c r="H72">
        <v>7.1919937565263439</v>
      </c>
      <c r="I72" t="b">
        <v>1</v>
      </c>
      <c r="J72" t="s">
        <v>22</v>
      </c>
      <c r="K72" t="s">
        <v>88</v>
      </c>
      <c r="L72" t="s">
        <v>24</v>
      </c>
      <c r="M72">
        <v>2.550662032516545</v>
      </c>
      <c r="N72">
        <v>3.7333039901297463E-7</v>
      </c>
      <c r="O72">
        <v>26270</v>
      </c>
      <c r="P72" t="s">
        <v>184</v>
      </c>
      <c r="Q72">
        <v>1</v>
      </c>
      <c r="R72">
        <v>-0.2243726313631185</v>
      </c>
      <c r="S72">
        <v>0.52957136613709666</v>
      </c>
    </row>
    <row r="73" spans="1:19" x14ac:dyDescent="0.2">
      <c r="A73" t="s">
        <v>185</v>
      </c>
      <c r="B73" t="s">
        <v>173</v>
      </c>
      <c r="C73" t="s">
        <v>186</v>
      </c>
      <c r="D73">
        <v>327</v>
      </c>
      <c r="E73">
        <v>74.447638822339343</v>
      </c>
      <c r="F73">
        <v>2.1868178672203591</v>
      </c>
      <c r="G73">
        <v>75132</v>
      </c>
      <c r="H73">
        <v>14.43701670671571</v>
      </c>
      <c r="I73" t="b">
        <v>0</v>
      </c>
      <c r="J73" t="s">
        <v>22</v>
      </c>
      <c r="K73" t="s">
        <v>88</v>
      </c>
      <c r="L73" t="s">
        <v>24</v>
      </c>
      <c r="M73">
        <v>2.8305915007805398</v>
      </c>
      <c r="N73">
        <v>1.2912183751497999E-3</v>
      </c>
      <c r="O73">
        <v>27409</v>
      </c>
      <c r="P73" t="s">
        <v>89</v>
      </c>
      <c r="Q73">
        <v>1</v>
      </c>
      <c r="R73">
        <v>0.2637177032738246</v>
      </c>
      <c r="S73">
        <v>2.9003582067402799E-2</v>
      </c>
    </row>
    <row r="74" spans="1:19" x14ac:dyDescent="0.2">
      <c r="A74" t="s">
        <v>187</v>
      </c>
      <c r="B74" t="s">
        <v>173</v>
      </c>
      <c r="C74" t="s">
        <v>183</v>
      </c>
      <c r="D74">
        <v>157</v>
      </c>
      <c r="E74">
        <v>78.506234979944978</v>
      </c>
      <c r="F74">
        <v>4.9909534990762614</v>
      </c>
      <c r="G74">
        <v>471453</v>
      </c>
      <c r="H74">
        <v>5.3810723209537086</v>
      </c>
      <c r="I74" t="b">
        <v>1</v>
      </c>
      <c r="J74" t="s">
        <v>22</v>
      </c>
      <c r="K74" t="s">
        <v>88</v>
      </c>
      <c r="L74" t="s">
        <v>24</v>
      </c>
      <c r="M74">
        <v>2.7973142026858802</v>
      </c>
      <c r="N74">
        <v>3.7333039901297463E-7</v>
      </c>
      <c r="O74">
        <v>12929</v>
      </c>
      <c r="P74" t="s">
        <v>184</v>
      </c>
      <c r="Q74">
        <v>1</v>
      </c>
      <c r="R74">
        <v>0.51586263836645108</v>
      </c>
      <c r="S74">
        <v>1.53064080402632E-2</v>
      </c>
    </row>
    <row r="75" spans="1:19" x14ac:dyDescent="0.2">
      <c r="A75" t="s">
        <v>188</v>
      </c>
      <c r="B75" t="s">
        <v>173</v>
      </c>
      <c r="C75" t="s">
        <v>189</v>
      </c>
      <c r="D75">
        <v>164</v>
      </c>
      <c r="E75">
        <v>24.526135163674759</v>
      </c>
      <c r="F75">
        <v>41.747624076029567</v>
      </c>
      <c r="G75">
        <v>75760</v>
      </c>
      <c r="H75">
        <v>17.242886012343661</v>
      </c>
      <c r="I75" t="b">
        <v>0</v>
      </c>
      <c r="J75" t="s">
        <v>22</v>
      </c>
      <c r="K75" t="s">
        <v>88</v>
      </c>
      <c r="L75" t="s">
        <v>24</v>
      </c>
      <c r="M75">
        <v>2.3862155127360452</v>
      </c>
      <c r="N75">
        <v>6.3767478850290001E-3</v>
      </c>
      <c r="O75">
        <v>11217</v>
      </c>
      <c r="P75" t="s">
        <v>89</v>
      </c>
      <c r="Q75">
        <v>1</v>
      </c>
      <c r="R75">
        <v>4.5174178157179203E-2</v>
      </c>
      <c r="S75">
        <v>0.3212310677661262</v>
      </c>
    </row>
    <row r="76" spans="1:19" x14ac:dyDescent="0.2">
      <c r="A76" t="s">
        <v>190</v>
      </c>
      <c r="B76" t="s">
        <v>173</v>
      </c>
      <c r="C76" t="s">
        <v>183</v>
      </c>
      <c r="D76">
        <v>157</v>
      </c>
      <c r="E76">
        <v>66.836189258010236</v>
      </c>
      <c r="F76">
        <v>1.828248048916904</v>
      </c>
      <c r="G76">
        <v>423739</v>
      </c>
      <c r="H76">
        <v>11.63893951463235</v>
      </c>
      <c r="I76" t="b">
        <v>1</v>
      </c>
      <c r="J76" t="s">
        <v>22</v>
      </c>
      <c r="K76" t="s">
        <v>88</v>
      </c>
      <c r="L76" t="s">
        <v>24</v>
      </c>
      <c r="M76">
        <v>2.7622954880665409</v>
      </c>
      <c r="N76">
        <v>3.7333039901297463E-7</v>
      </c>
      <c r="O76">
        <v>15449</v>
      </c>
      <c r="P76" t="s">
        <v>184</v>
      </c>
      <c r="Q76">
        <v>1</v>
      </c>
      <c r="R76">
        <v>0.1099258362748826</v>
      </c>
      <c r="S76">
        <v>0.1801330433127061</v>
      </c>
    </row>
  </sheetData>
  <conditionalFormatting sqref="E1:E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I1:I1048576">
    <cfRule type="containsText" dxfId="1" priority="4" operator="containsText" text="TRUE">
      <formula>NOT(ISERROR(SEARCH("TRUE",I1)))</formula>
    </cfRule>
  </conditionalFormatting>
  <conditionalFormatting sqref="M1:M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N1:N1048576">
    <cfRule type="colorScale" priority="1">
      <colorScale>
        <cfvo type="min"/>
        <cfvo type="max"/>
        <color rgb="FF63BE7B"/>
        <color rgb="FFFCFCFF"/>
      </colorScale>
    </cfRule>
  </conditionalFormatting>
  <conditionalFormatting sqref="R1:R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2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F000-896C-BF4C-BA5C-804C8C8D43B4}">
  <dimension ref="A1:S29"/>
  <sheetViews>
    <sheetView zoomScale="108" workbookViewId="0">
      <selection activeCell="H31" sqref="H31"/>
    </sheetView>
  </sheetViews>
  <sheetFormatPr baseColWidth="10" defaultRowHeight="15" x14ac:dyDescent="0.2"/>
  <cols>
    <col min="1" max="1" width="25" style="2" customWidth="1"/>
    <col min="2" max="2" width="10.83203125" style="2"/>
    <col min="3" max="3" width="18.5" style="2" customWidth="1"/>
    <col min="4" max="4" width="10.83203125" style="2" customWidth="1"/>
    <col min="5" max="5" width="14.33203125" style="2" customWidth="1"/>
    <col min="6" max="6" width="12.1640625" style="2" customWidth="1"/>
    <col min="7" max="7" width="9.6640625" style="2" customWidth="1"/>
    <col min="8" max="8" width="11.6640625" style="2" bestFit="1" customWidth="1"/>
    <col min="9" max="9" width="11" style="2" bestFit="1" customWidth="1"/>
    <col min="10" max="12" width="10.83203125" style="2"/>
    <col min="13" max="14" width="11.6640625" style="2" bestFit="1" customWidth="1"/>
    <col min="15" max="15" width="11" style="2" bestFit="1" customWidth="1"/>
    <col min="16" max="16" width="33" style="2" customWidth="1"/>
    <col min="17" max="17" width="11" style="2" bestFit="1" customWidth="1"/>
    <col min="18" max="18" width="12.1640625" style="2" bestFit="1" customWidth="1"/>
    <col min="19" max="19" width="11.6640625" style="2" bestFit="1" customWidth="1"/>
    <col min="20" max="16384" width="10.83203125" style="2"/>
  </cols>
  <sheetData>
    <row r="1" spans="1:19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 x14ac:dyDescent="0.2">
      <c r="A2" s="2" t="s">
        <v>191</v>
      </c>
      <c r="B2" s="2" t="s">
        <v>20</v>
      </c>
      <c r="C2" s="2" t="s">
        <v>192</v>
      </c>
      <c r="D2" s="2">
        <v>731</v>
      </c>
      <c r="E2" s="2">
        <v>74.168158275321446</v>
      </c>
      <c r="F2" s="2">
        <v>2.398295203673984</v>
      </c>
      <c r="G2" s="2">
        <v>378227</v>
      </c>
      <c r="H2" s="2">
        <v>18.16208894639589</v>
      </c>
      <c r="I2" s="2" t="b">
        <v>1</v>
      </c>
      <c r="J2" s="2" t="s">
        <v>22</v>
      </c>
      <c r="K2" s="2" t="s">
        <v>23</v>
      </c>
      <c r="L2" s="2" t="s">
        <v>193</v>
      </c>
      <c r="M2" s="2">
        <v>6.7338417879571644</v>
      </c>
      <c r="N2" s="2">
        <v>9.9855625406327504E-7</v>
      </c>
      <c r="O2" s="2">
        <v>1363</v>
      </c>
      <c r="P2" s="2" t="s">
        <v>25</v>
      </c>
      <c r="Q2" s="2">
        <v>2</v>
      </c>
      <c r="R2" s="2">
        <v>-0.69851482738548765</v>
      </c>
      <c r="S2" s="2">
        <v>0.98297491497382716</v>
      </c>
    </row>
    <row r="3" spans="1:19" ht="16" x14ac:dyDescent="0.2">
      <c r="A3" s="2" t="s">
        <v>194</v>
      </c>
      <c r="B3" s="2" t="s">
        <v>20</v>
      </c>
      <c r="C3" s="2" t="s">
        <v>195</v>
      </c>
      <c r="D3" s="2">
        <v>1067</v>
      </c>
      <c r="E3" s="2">
        <v>26.544622425629289</v>
      </c>
      <c r="F3" s="2">
        <v>73.455377574370701</v>
      </c>
      <c r="G3" s="2">
        <v>2185</v>
      </c>
      <c r="H3" s="2">
        <v>29.493384962891259</v>
      </c>
      <c r="I3" s="2" t="b">
        <v>0</v>
      </c>
      <c r="J3" s="2" t="s">
        <v>22</v>
      </c>
      <c r="K3" s="2" t="s">
        <v>23</v>
      </c>
      <c r="L3" s="2" t="s">
        <v>193</v>
      </c>
      <c r="M3" s="2">
        <v>2.324102488732553</v>
      </c>
      <c r="N3" s="2">
        <v>3.5736152286094502E-2</v>
      </c>
      <c r="O3" s="2">
        <v>101</v>
      </c>
      <c r="P3" s="2" t="s">
        <v>31</v>
      </c>
      <c r="Q3" s="2">
        <v>1</v>
      </c>
      <c r="R3" s="2">
        <v>-2.199843753134143</v>
      </c>
      <c r="S3" s="2">
        <v>0.23175302521324101</v>
      </c>
    </row>
    <row r="4" spans="1:19" ht="16" x14ac:dyDescent="0.2">
      <c r="A4" s="2" t="s">
        <v>37</v>
      </c>
      <c r="B4" s="2" t="s">
        <v>20</v>
      </c>
      <c r="C4" s="2" t="s">
        <v>196</v>
      </c>
      <c r="D4" s="2">
        <v>818</v>
      </c>
      <c r="E4" s="2">
        <v>61.679200808171508</v>
      </c>
      <c r="F4" s="2">
        <v>38.320799191828478</v>
      </c>
      <c r="G4" s="2">
        <v>8909</v>
      </c>
      <c r="H4" s="2">
        <v>15.554502369668249</v>
      </c>
      <c r="I4" s="2" t="b">
        <v>1</v>
      </c>
      <c r="J4" s="2" t="s">
        <v>22</v>
      </c>
      <c r="K4" s="2" t="s">
        <v>23</v>
      </c>
      <c r="L4" s="2" t="s">
        <v>193</v>
      </c>
      <c r="M4" s="2">
        <v>2.4224530077059558</v>
      </c>
      <c r="N4" s="2">
        <v>3.5092481101017099E-2</v>
      </c>
      <c r="O4" s="2">
        <v>120</v>
      </c>
      <c r="P4" s="2" t="s">
        <v>31</v>
      </c>
      <c r="Q4" s="2">
        <v>1</v>
      </c>
      <c r="R4" s="2">
        <v>-1.8351384538116611</v>
      </c>
      <c r="S4" s="2">
        <v>0.70277013556218959</v>
      </c>
    </row>
    <row r="5" spans="1:19" ht="16" x14ac:dyDescent="0.2">
      <c r="A5" s="2" t="s">
        <v>197</v>
      </c>
      <c r="B5" s="2" t="s">
        <v>20</v>
      </c>
      <c r="C5" s="2" t="s">
        <v>198</v>
      </c>
      <c r="D5" s="2">
        <v>816</v>
      </c>
      <c r="E5" s="2">
        <v>89.648339809934214</v>
      </c>
      <c r="F5" s="2">
        <v>3.0645223346543031</v>
      </c>
      <c r="G5" s="2">
        <v>51982</v>
      </c>
      <c r="H5" s="2">
        <v>23.48949824112097</v>
      </c>
      <c r="I5" s="2" t="b">
        <v>1</v>
      </c>
      <c r="J5" s="2" t="s">
        <v>22</v>
      </c>
      <c r="K5" s="2" t="s">
        <v>23</v>
      </c>
      <c r="L5" s="2" t="s">
        <v>193</v>
      </c>
      <c r="M5" s="2">
        <v>6.2551341414226469</v>
      </c>
      <c r="N5" s="2">
        <v>3.6435432166651633E-5</v>
      </c>
      <c r="O5" s="2">
        <v>139</v>
      </c>
      <c r="P5" s="2" t="s">
        <v>28</v>
      </c>
      <c r="Q5" s="2">
        <v>3</v>
      </c>
      <c r="R5" s="2">
        <v>-2.4057585240618291</v>
      </c>
      <c r="S5" s="2">
        <v>0.31101100147504318</v>
      </c>
    </row>
    <row r="6" spans="1:19" ht="16" x14ac:dyDescent="0.2">
      <c r="A6" s="2" t="s">
        <v>199</v>
      </c>
      <c r="B6" s="2" t="s">
        <v>20</v>
      </c>
      <c r="C6" s="2" t="s">
        <v>200</v>
      </c>
      <c r="D6" s="2">
        <v>816</v>
      </c>
      <c r="E6" s="2">
        <v>38.102218964483242</v>
      </c>
      <c r="F6" s="2">
        <v>19.94402612114347</v>
      </c>
      <c r="G6" s="2">
        <v>15007</v>
      </c>
      <c r="H6" s="2">
        <v>11.71833637272781</v>
      </c>
      <c r="I6" s="2" t="b">
        <v>1</v>
      </c>
      <c r="J6" s="2" t="s">
        <v>22</v>
      </c>
      <c r="K6" s="2" t="s">
        <v>23</v>
      </c>
      <c r="L6" s="2" t="s">
        <v>193</v>
      </c>
      <c r="M6" s="2">
        <v>3.3448816348704251</v>
      </c>
      <c r="N6" s="2">
        <v>4.5137206672814602E-2</v>
      </c>
      <c r="O6" s="2">
        <v>431</v>
      </c>
      <c r="P6" s="2" t="s">
        <v>28</v>
      </c>
      <c r="Q6" s="2">
        <v>1</v>
      </c>
      <c r="R6" s="2">
        <v>-2.6078177922286252</v>
      </c>
      <c r="S6" s="2">
        <v>0.43404333556833008</v>
      </c>
    </row>
    <row r="7" spans="1:19" ht="16" x14ac:dyDescent="0.2">
      <c r="A7" s="2" t="s">
        <v>201</v>
      </c>
      <c r="B7" s="2" t="s">
        <v>20</v>
      </c>
      <c r="C7" s="2" t="s">
        <v>202</v>
      </c>
      <c r="D7" s="2">
        <v>822</v>
      </c>
      <c r="E7" s="2">
        <v>56.345991211832683</v>
      </c>
      <c r="F7" s="2">
        <v>3.238492882530708</v>
      </c>
      <c r="G7" s="2">
        <v>169091</v>
      </c>
      <c r="H7" s="2">
        <v>11.51561772293652</v>
      </c>
      <c r="I7" s="2" t="b">
        <v>1</v>
      </c>
      <c r="J7" s="2" t="s">
        <v>22</v>
      </c>
      <c r="K7" s="2" t="s">
        <v>23</v>
      </c>
      <c r="L7" s="2" t="s">
        <v>193</v>
      </c>
      <c r="M7" s="2">
        <v>5.1352790778248956</v>
      </c>
      <c r="N7" s="2">
        <v>9.9855625406327504E-7</v>
      </c>
      <c r="O7" s="2">
        <v>1657</v>
      </c>
      <c r="P7" s="2" t="s">
        <v>25</v>
      </c>
      <c r="Q7" s="2">
        <v>1</v>
      </c>
      <c r="R7" s="2">
        <v>-0.34873832911332592</v>
      </c>
      <c r="S7" s="2">
        <v>0.99999999971182718</v>
      </c>
    </row>
    <row r="8" spans="1:19" s="6" customFormat="1" ht="17" thickBot="1" x14ac:dyDescent="0.25">
      <c r="A8" s="6" t="s">
        <v>203</v>
      </c>
      <c r="B8" s="6" t="s">
        <v>20</v>
      </c>
      <c r="C8" s="6" t="s">
        <v>204</v>
      </c>
      <c r="D8" s="6">
        <v>822</v>
      </c>
      <c r="E8" s="6">
        <v>42.796988333035848</v>
      </c>
      <c r="F8" s="6">
        <v>3.1552728511853569</v>
      </c>
      <c r="G8" s="6">
        <v>123254</v>
      </c>
      <c r="H8" s="6">
        <v>11.044552061606421</v>
      </c>
      <c r="I8" s="6" t="b">
        <v>1</v>
      </c>
      <c r="J8" s="6" t="s">
        <v>22</v>
      </c>
      <c r="K8" s="6" t="s">
        <v>23</v>
      </c>
      <c r="L8" s="6" t="s">
        <v>193</v>
      </c>
      <c r="M8" s="6">
        <v>4.9062063724025382</v>
      </c>
      <c r="N8" s="6">
        <v>9.8363777948607084E-6</v>
      </c>
      <c r="O8" s="6">
        <v>1826</v>
      </c>
      <c r="P8" s="6" t="s">
        <v>25</v>
      </c>
      <c r="Q8" s="6">
        <v>1</v>
      </c>
      <c r="R8" s="6">
        <v>-1.4078527090229469</v>
      </c>
      <c r="S8" s="6">
        <v>0.67894752046726203</v>
      </c>
    </row>
    <row r="9" spans="1:19" ht="16" x14ac:dyDescent="0.2">
      <c r="A9" s="2" t="s">
        <v>205</v>
      </c>
      <c r="B9" s="2" t="s">
        <v>50</v>
      </c>
      <c r="C9" s="2" t="s">
        <v>206</v>
      </c>
      <c r="D9" s="2">
        <v>855</v>
      </c>
      <c r="E9" s="2">
        <v>41.769265845873242</v>
      </c>
      <c r="F9" s="2">
        <v>58.139534883720927</v>
      </c>
      <c r="G9" s="2">
        <v>2193</v>
      </c>
      <c r="H9" s="2">
        <v>10.04922067268253</v>
      </c>
      <c r="I9" s="2" t="b">
        <v>1</v>
      </c>
      <c r="J9" s="2" t="s">
        <v>22</v>
      </c>
      <c r="K9" s="2" t="s">
        <v>23</v>
      </c>
      <c r="L9" s="2" t="s">
        <v>193</v>
      </c>
      <c r="M9" s="2">
        <v>3.5033425441717752</v>
      </c>
      <c r="N9" s="2">
        <v>1.6709681413699402E-2</v>
      </c>
      <c r="O9" s="2">
        <v>214</v>
      </c>
      <c r="P9" s="2" t="s">
        <v>31</v>
      </c>
      <c r="Q9" s="2">
        <v>1</v>
      </c>
      <c r="R9" s="2">
        <v>-1.829100482641395</v>
      </c>
      <c r="S9" s="2">
        <v>0.50393965912775951</v>
      </c>
    </row>
    <row r="10" spans="1:19" s="6" customFormat="1" ht="17" thickBot="1" x14ac:dyDescent="0.25">
      <c r="A10" s="6" t="s">
        <v>207</v>
      </c>
      <c r="B10" s="6" t="s">
        <v>50</v>
      </c>
      <c r="C10" s="6" t="s">
        <v>208</v>
      </c>
      <c r="D10" s="6">
        <v>905</v>
      </c>
      <c r="E10" s="6">
        <v>59.878885748889793</v>
      </c>
      <c r="F10" s="6">
        <v>6.6289866774323771</v>
      </c>
      <c r="G10" s="6">
        <v>12385</v>
      </c>
      <c r="H10" s="6">
        <v>6.9636418269230766</v>
      </c>
      <c r="I10" s="6" t="b">
        <v>0</v>
      </c>
      <c r="J10" s="6" t="s">
        <v>22</v>
      </c>
      <c r="K10" s="6" t="s">
        <v>23</v>
      </c>
      <c r="L10" s="6" t="s">
        <v>193</v>
      </c>
      <c r="M10" s="6">
        <v>4.3823165505666388</v>
      </c>
      <c r="N10" s="6">
        <v>3.7781740133085038E-5</v>
      </c>
      <c r="O10" s="6">
        <v>133</v>
      </c>
      <c r="P10" s="6" t="s">
        <v>31</v>
      </c>
      <c r="Q10" s="6">
        <v>1</v>
      </c>
      <c r="R10" s="6">
        <v>-1.332631588410615</v>
      </c>
      <c r="S10" s="6">
        <v>0.99999999971182718</v>
      </c>
    </row>
    <row r="11" spans="1:19" ht="16" x14ac:dyDescent="0.2">
      <c r="A11" s="2" t="s">
        <v>209</v>
      </c>
      <c r="B11" s="2" t="s">
        <v>86</v>
      </c>
      <c r="C11" s="2" t="s">
        <v>210</v>
      </c>
      <c r="D11" s="2">
        <v>384</v>
      </c>
      <c r="E11" s="2">
        <v>97.138354975436698</v>
      </c>
      <c r="F11" s="2">
        <v>2.8616450245632961</v>
      </c>
      <c r="G11" s="2">
        <v>118673</v>
      </c>
      <c r="H11" s="2">
        <v>17.72474850768516</v>
      </c>
      <c r="I11" s="2" t="b">
        <v>0</v>
      </c>
      <c r="J11" s="2" t="s">
        <v>22</v>
      </c>
      <c r="K11" s="2" t="s">
        <v>135</v>
      </c>
      <c r="L11" s="2" t="s">
        <v>193</v>
      </c>
      <c r="M11" s="2">
        <v>2.8332454234456419</v>
      </c>
      <c r="N11" s="2">
        <v>6.3550826583448003E-3</v>
      </c>
      <c r="O11" s="2">
        <v>15623</v>
      </c>
      <c r="P11" s="2" t="s">
        <v>136</v>
      </c>
      <c r="Q11" s="2">
        <v>1</v>
      </c>
      <c r="R11" s="2">
        <v>1.6942215606783011</v>
      </c>
      <c r="S11" s="2">
        <v>5.9187256827869301E-2</v>
      </c>
    </row>
    <row r="12" spans="1:19" ht="16" x14ac:dyDescent="0.2">
      <c r="A12" s="2" t="s">
        <v>211</v>
      </c>
      <c r="B12" s="2" t="s">
        <v>86</v>
      </c>
      <c r="C12" s="2" t="s">
        <v>212</v>
      </c>
      <c r="D12" s="2">
        <v>499</v>
      </c>
      <c r="E12" s="2">
        <v>99.819826378146217</v>
      </c>
      <c r="F12" s="2">
        <v>0.17835368627950571</v>
      </c>
      <c r="G12" s="2">
        <v>54947</v>
      </c>
      <c r="H12" s="2">
        <v>34.622706613045239</v>
      </c>
      <c r="I12" s="2" t="b">
        <v>0</v>
      </c>
      <c r="J12" s="2" t="s">
        <v>22</v>
      </c>
      <c r="K12" s="2" t="s">
        <v>88</v>
      </c>
      <c r="L12" s="2" t="s">
        <v>193</v>
      </c>
      <c r="M12" s="2">
        <v>4.3114620193779674</v>
      </c>
      <c r="N12" s="2">
        <v>1.2436906781529999E-4</v>
      </c>
      <c r="O12" s="2">
        <v>5878</v>
      </c>
      <c r="P12" s="2" t="s">
        <v>184</v>
      </c>
      <c r="Q12" s="2">
        <v>1</v>
      </c>
      <c r="R12" s="2">
        <v>0.14473960375682221</v>
      </c>
      <c r="S12" s="2">
        <v>0.47113908502291851</v>
      </c>
    </row>
    <row r="13" spans="1:19" s="6" customFormat="1" ht="17" thickBot="1" x14ac:dyDescent="0.25">
      <c r="A13" s="6" t="s">
        <v>213</v>
      </c>
      <c r="B13" s="6" t="s">
        <v>86</v>
      </c>
      <c r="C13" s="6" t="s">
        <v>214</v>
      </c>
      <c r="D13" s="6">
        <v>428</v>
      </c>
      <c r="E13" s="6">
        <v>57.831787119610468</v>
      </c>
      <c r="F13" s="6">
        <v>3.105404061880491</v>
      </c>
      <c r="G13" s="6">
        <v>166967</v>
      </c>
      <c r="H13" s="6">
        <v>28.376923373899171</v>
      </c>
      <c r="I13" s="6" t="b">
        <v>0</v>
      </c>
      <c r="J13" s="6" t="s">
        <v>22</v>
      </c>
      <c r="K13" s="6" t="s">
        <v>135</v>
      </c>
      <c r="L13" s="6" t="s">
        <v>193</v>
      </c>
      <c r="M13" s="6">
        <v>2.189689127434522</v>
      </c>
      <c r="N13" s="6">
        <v>4.8552527262054397E-2</v>
      </c>
      <c r="O13" s="6">
        <v>22539</v>
      </c>
      <c r="P13" s="6" t="s">
        <v>145</v>
      </c>
      <c r="Q13" s="6">
        <v>1</v>
      </c>
      <c r="R13" s="6">
        <v>0.89356746496465211</v>
      </c>
      <c r="S13" s="6">
        <v>3.8671962633007297E-2</v>
      </c>
    </row>
    <row r="14" spans="1:19" s="7" customFormat="1" ht="17" thickBot="1" x14ac:dyDescent="0.25">
      <c r="A14" s="7" t="s">
        <v>115</v>
      </c>
      <c r="B14" s="7" t="s">
        <v>110</v>
      </c>
      <c r="C14" s="7" t="s">
        <v>215</v>
      </c>
      <c r="D14" s="7">
        <v>56</v>
      </c>
      <c r="E14" s="7">
        <v>57.70719937152797</v>
      </c>
      <c r="F14" s="7">
        <v>4.0970925152508677</v>
      </c>
      <c r="G14" s="7">
        <v>124747</v>
      </c>
      <c r="H14" s="7">
        <v>28.347912993032779</v>
      </c>
      <c r="I14" s="7" t="b">
        <v>1</v>
      </c>
      <c r="J14" s="7" t="s">
        <v>22</v>
      </c>
      <c r="K14" s="7" t="s">
        <v>107</v>
      </c>
      <c r="L14" s="7" t="s">
        <v>193</v>
      </c>
      <c r="M14" s="7">
        <v>2.4309869765679948</v>
      </c>
      <c r="N14" s="7">
        <v>1.8267482302010001E-4</v>
      </c>
      <c r="O14" s="7">
        <v>6906</v>
      </c>
      <c r="P14" s="7" t="s">
        <v>216</v>
      </c>
      <c r="Q14" s="7">
        <v>2</v>
      </c>
      <c r="R14" s="7">
        <v>1.0473218927366821</v>
      </c>
      <c r="S14" s="7">
        <v>7.0492370646150221E-5</v>
      </c>
    </row>
    <row r="15" spans="1:19" s="7" customFormat="1" ht="17" thickBot="1" x14ac:dyDescent="0.25">
      <c r="A15" s="7" t="s">
        <v>217</v>
      </c>
      <c r="B15" s="7" t="s">
        <v>120</v>
      </c>
      <c r="C15" s="7" t="s">
        <v>218</v>
      </c>
      <c r="D15" s="7">
        <v>165</v>
      </c>
      <c r="E15" s="7">
        <v>27.059530968129881</v>
      </c>
      <c r="F15" s="7">
        <v>6.0132291040288638E-2</v>
      </c>
      <c r="G15" s="7">
        <v>1663</v>
      </c>
      <c r="H15" s="7">
        <v>15.1530612244898</v>
      </c>
      <c r="I15" s="7" t="b">
        <v>1</v>
      </c>
      <c r="J15" s="7" t="s">
        <v>22</v>
      </c>
      <c r="K15" s="7" t="s">
        <v>107</v>
      </c>
      <c r="L15" s="7" t="s">
        <v>193</v>
      </c>
      <c r="M15" s="7">
        <v>2.3412049887643369</v>
      </c>
      <c r="N15" s="7">
        <v>2.885836085047E-4</v>
      </c>
      <c r="O15" s="7">
        <v>188</v>
      </c>
      <c r="P15" s="7" t="s">
        <v>114</v>
      </c>
      <c r="Q15" s="7">
        <v>1</v>
      </c>
      <c r="R15" s="7">
        <v>-1.211087558714298</v>
      </c>
      <c r="S15" s="7">
        <v>0.65865436623803453</v>
      </c>
    </row>
    <row r="16" spans="1:19" ht="16" x14ac:dyDescent="0.2">
      <c r="A16" s="2" t="s">
        <v>219</v>
      </c>
      <c r="B16" s="2" t="s">
        <v>127</v>
      </c>
      <c r="C16" s="9" t="s">
        <v>220</v>
      </c>
      <c r="D16" s="2">
        <v>236</v>
      </c>
      <c r="E16" s="2">
        <v>29.316915860451481</v>
      </c>
      <c r="F16" s="2">
        <v>65.130460275579011</v>
      </c>
      <c r="G16" s="2">
        <v>85275</v>
      </c>
      <c r="H16" s="2">
        <v>6.6410483791506536</v>
      </c>
      <c r="I16" s="2" t="b">
        <v>0</v>
      </c>
      <c r="J16" s="2" t="s">
        <v>22</v>
      </c>
      <c r="K16" s="2" t="s">
        <v>88</v>
      </c>
      <c r="L16" s="2" t="s">
        <v>193</v>
      </c>
      <c r="M16" s="2">
        <v>2.263709657847174</v>
      </c>
      <c r="N16" s="2">
        <v>1.2694486174644099E-2</v>
      </c>
      <c r="O16" s="2">
        <v>3916</v>
      </c>
      <c r="P16" s="2" t="s">
        <v>184</v>
      </c>
      <c r="Q16" s="2">
        <v>1</v>
      </c>
      <c r="R16" s="2">
        <v>-0.88921137503681436</v>
      </c>
      <c r="S16" s="2">
        <v>0.99999992087193557</v>
      </c>
    </row>
    <row r="17" spans="1:19" ht="16" x14ac:dyDescent="0.2">
      <c r="A17" s="2" t="s">
        <v>221</v>
      </c>
      <c r="B17" s="2" t="s">
        <v>127</v>
      </c>
      <c r="C17" s="2" t="s">
        <v>222</v>
      </c>
      <c r="D17" s="2">
        <v>18</v>
      </c>
      <c r="E17" s="2">
        <v>94.775244626368874</v>
      </c>
      <c r="F17" s="2">
        <v>5.0398360172758574</v>
      </c>
      <c r="G17" s="2">
        <v>159529</v>
      </c>
      <c r="H17" s="2">
        <v>32.708628602281173</v>
      </c>
      <c r="I17" s="2" t="b">
        <v>1</v>
      </c>
      <c r="J17" s="2" t="s">
        <v>22</v>
      </c>
      <c r="K17" s="2" t="s">
        <v>135</v>
      </c>
      <c r="L17" s="2" t="s">
        <v>193</v>
      </c>
      <c r="M17" s="2">
        <v>6.1485086954453116</v>
      </c>
      <c r="N17" s="2">
        <v>3.7333039901297463E-7</v>
      </c>
      <c r="O17" s="2">
        <v>25270</v>
      </c>
      <c r="P17" s="2" t="s">
        <v>136</v>
      </c>
      <c r="Q17" s="2">
        <v>2</v>
      </c>
      <c r="R17" s="2">
        <v>0.60376766841452834</v>
      </c>
      <c r="S17" s="2">
        <v>0.54253143275555771</v>
      </c>
    </row>
    <row r="18" spans="1:19" ht="16" x14ac:dyDescent="0.2">
      <c r="A18" s="2" t="s">
        <v>223</v>
      </c>
      <c r="B18" s="2" t="s">
        <v>127</v>
      </c>
      <c r="C18" s="2" t="s">
        <v>222</v>
      </c>
      <c r="D18" s="2">
        <v>18</v>
      </c>
      <c r="E18" s="2">
        <v>70.651029253638683</v>
      </c>
      <c r="F18" s="2">
        <v>29.182693906508081</v>
      </c>
      <c r="G18" s="2">
        <v>90211</v>
      </c>
      <c r="H18" s="2">
        <v>22.026207063460511</v>
      </c>
      <c r="I18" s="2" t="b">
        <v>1</v>
      </c>
      <c r="J18" s="2" t="s">
        <v>22</v>
      </c>
      <c r="K18" s="2" t="s">
        <v>135</v>
      </c>
      <c r="L18" s="2" t="s">
        <v>193</v>
      </c>
      <c r="M18" s="2">
        <v>6.2151821433180272</v>
      </c>
      <c r="N18" s="2">
        <v>3.7333039901297463E-7</v>
      </c>
      <c r="O18" s="2">
        <v>11606</v>
      </c>
      <c r="P18" s="2" t="s">
        <v>136</v>
      </c>
      <c r="Q18" s="2">
        <v>2</v>
      </c>
      <c r="R18" s="2">
        <v>-8.8940219958469596E-2</v>
      </c>
      <c r="S18" s="2">
        <v>0.99573320801746523</v>
      </c>
    </row>
    <row r="19" spans="1:19" s="6" customFormat="1" ht="17" thickBot="1" x14ac:dyDescent="0.25">
      <c r="A19" s="6" t="s">
        <v>224</v>
      </c>
      <c r="B19" s="6" t="s">
        <v>127</v>
      </c>
      <c r="C19" s="6" t="s">
        <v>222</v>
      </c>
      <c r="D19" s="6">
        <v>18</v>
      </c>
      <c r="E19" s="6">
        <v>92.573487846240809</v>
      </c>
      <c r="F19" s="6">
        <v>6.8417891464104006</v>
      </c>
      <c r="G19" s="6">
        <v>113216</v>
      </c>
      <c r="H19" s="6">
        <v>32.621154681632333</v>
      </c>
      <c r="I19" s="6" t="b">
        <v>1</v>
      </c>
      <c r="J19" s="6" t="s">
        <v>22</v>
      </c>
      <c r="K19" s="6" t="s">
        <v>135</v>
      </c>
      <c r="L19" s="6" t="s">
        <v>193</v>
      </c>
      <c r="M19" s="6">
        <v>7.1848573459790552</v>
      </c>
      <c r="N19" s="6">
        <v>3.7333039901297463E-7</v>
      </c>
      <c r="O19" s="6">
        <v>22892</v>
      </c>
      <c r="P19" s="6" t="s">
        <v>136</v>
      </c>
      <c r="Q19" s="6">
        <v>2</v>
      </c>
      <c r="R19" s="6">
        <v>0.56462453092034581</v>
      </c>
      <c r="S19" s="6">
        <v>0.54793199553642946</v>
      </c>
    </row>
    <row r="20" spans="1:19" s="7" customFormat="1" ht="17" thickBot="1" x14ac:dyDescent="0.25">
      <c r="A20" s="7" t="s">
        <v>225</v>
      </c>
      <c r="B20" s="7" t="s">
        <v>149</v>
      </c>
      <c r="C20" s="8" t="s">
        <v>226</v>
      </c>
      <c r="D20" s="7">
        <v>29</v>
      </c>
      <c r="E20" s="7">
        <v>93.786332023556952</v>
      </c>
      <c r="F20" s="7">
        <v>6.0119687556490051</v>
      </c>
      <c r="G20" s="7">
        <v>105107</v>
      </c>
      <c r="H20" s="7">
        <v>27.991641831946009</v>
      </c>
      <c r="I20" s="7" t="b">
        <v>1</v>
      </c>
      <c r="J20" s="7" t="s">
        <v>22</v>
      </c>
      <c r="K20" s="7" t="s">
        <v>88</v>
      </c>
      <c r="L20" s="7" t="s">
        <v>193</v>
      </c>
      <c r="M20" s="7">
        <v>2.3429205741516048</v>
      </c>
      <c r="N20" s="7">
        <v>1.1199911970389239E-6</v>
      </c>
      <c r="O20" s="7">
        <v>5124</v>
      </c>
      <c r="P20" s="7" t="s">
        <v>92</v>
      </c>
      <c r="Q20" s="7">
        <v>2</v>
      </c>
      <c r="R20" s="7">
        <v>-0.47515095416094327</v>
      </c>
      <c r="S20" s="7">
        <v>0.99999992087193557</v>
      </c>
    </row>
    <row r="21" spans="1:19" ht="16" x14ac:dyDescent="0.2">
      <c r="A21" s="2" t="s">
        <v>187</v>
      </c>
      <c r="B21" s="2" t="s">
        <v>173</v>
      </c>
      <c r="C21" s="2" t="s">
        <v>227</v>
      </c>
      <c r="D21" s="2">
        <v>156</v>
      </c>
      <c r="E21" s="2">
        <v>90.481002305794973</v>
      </c>
      <c r="F21" s="2">
        <v>5.2695274597608632</v>
      </c>
      <c r="G21" s="2">
        <v>2538387</v>
      </c>
      <c r="H21" s="2">
        <v>9.7559943742969661</v>
      </c>
      <c r="I21" s="2" t="b">
        <v>1</v>
      </c>
      <c r="J21" s="2" t="s">
        <v>22</v>
      </c>
      <c r="K21" s="2" t="s">
        <v>88</v>
      </c>
      <c r="L21" s="2" t="s">
        <v>193</v>
      </c>
      <c r="M21" s="2">
        <v>5.2456453104801426</v>
      </c>
      <c r="N21" s="2">
        <v>8.8934267995771367E-6</v>
      </c>
      <c r="O21" s="2">
        <v>22086</v>
      </c>
      <c r="P21" s="2" t="s">
        <v>89</v>
      </c>
      <c r="Q21" s="2">
        <v>3</v>
      </c>
      <c r="R21" s="2">
        <v>0.52646305457377474</v>
      </c>
      <c r="S21" s="2">
        <v>0.55463199583765266</v>
      </c>
    </row>
    <row r="22" spans="1:19" ht="16" x14ac:dyDescent="0.2">
      <c r="A22" s="2" t="s">
        <v>228</v>
      </c>
      <c r="B22" s="2" t="s">
        <v>173</v>
      </c>
      <c r="C22" s="2" t="s">
        <v>229</v>
      </c>
      <c r="D22" s="2">
        <v>106</v>
      </c>
      <c r="E22" s="2">
        <v>75.295239746813493</v>
      </c>
      <c r="F22" s="2">
        <v>1.23992022890835</v>
      </c>
      <c r="G22" s="2">
        <v>57665</v>
      </c>
      <c r="H22" s="2">
        <v>18.712996898787711</v>
      </c>
      <c r="I22" s="2" t="b">
        <v>1</v>
      </c>
      <c r="J22" s="2" t="s">
        <v>22</v>
      </c>
      <c r="K22" s="2" t="s">
        <v>88</v>
      </c>
      <c r="L22" s="2" t="s">
        <v>193</v>
      </c>
      <c r="M22" s="2">
        <v>3.4752087592216241</v>
      </c>
      <c r="N22" s="2">
        <v>2.2773107056490001E-4</v>
      </c>
      <c r="O22" s="2">
        <v>2281</v>
      </c>
      <c r="P22" s="2" t="s">
        <v>184</v>
      </c>
      <c r="Q22" s="2">
        <v>1</v>
      </c>
      <c r="R22" s="2">
        <v>-3.0418163184790021</v>
      </c>
      <c r="S22" s="2">
        <v>0.2585373733103441</v>
      </c>
    </row>
    <row r="23" spans="1:19" ht="16" x14ac:dyDescent="0.2">
      <c r="A23" s="2" t="s">
        <v>230</v>
      </c>
      <c r="B23" s="2" t="s">
        <v>173</v>
      </c>
      <c r="C23" s="2" t="s">
        <v>231</v>
      </c>
      <c r="D23" s="2">
        <v>104</v>
      </c>
      <c r="E23" s="2">
        <v>40.256912412709042</v>
      </c>
      <c r="F23" s="2">
        <v>8.0449403458139006</v>
      </c>
      <c r="G23" s="2">
        <v>77614</v>
      </c>
      <c r="H23" s="2">
        <v>19.322682244836439</v>
      </c>
      <c r="I23" s="2" t="b">
        <v>1</v>
      </c>
      <c r="J23" s="2" t="s">
        <v>22</v>
      </c>
      <c r="K23" s="2" t="s">
        <v>88</v>
      </c>
      <c r="L23" s="2" t="s">
        <v>193</v>
      </c>
      <c r="M23" s="2">
        <v>3.1163292548088362</v>
      </c>
      <c r="N23" s="2">
        <v>8.8153046713059999E-3</v>
      </c>
      <c r="O23" s="2">
        <v>3688</v>
      </c>
      <c r="P23" s="2" t="s">
        <v>184</v>
      </c>
      <c r="Q23" s="2">
        <v>1</v>
      </c>
      <c r="R23" s="2">
        <v>-1.341160611957916</v>
      </c>
      <c r="S23" s="2">
        <v>0.64865448003752979</v>
      </c>
    </row>
    <row r="24" spans="1:19" ht="16" x14ac:dyDescent="0.2">
      <c r="A24" s="2" t="s">
        <v>232</v>
      </c>
      <c r="B24" s="2" t="s">
        <v>173</v>
      </c>
      <c r="C24" s="9" t="s">
        <v>233</v>
      </c>
      <c r="D24" s="2">
        <v>365</v>
      </c>
      <c r="E24" s="2">
        <v>22.048117843598721</v>
      </c>
      <c r="F24" s="2">
        <v>36.656626873315687</v>
      </c>
      <c r="G24" s="2">
        <v>82007</v>
      </c>
      <c r="H24" s="2">
        <v>19.239935397463171</v>
      </c>
      <c r="I24" s="2" t="b">
        <v>0</v>
      </c>
      <c r="J24" s="2" t="s">
        <v>22</v>
      </c>
      <c r="K24" s="2" t="s">
        <v>135</v>
      </c>
      <c r="L24" s="2" t="s">
        <v>193</v>
      </c>
      <c r="M24" s="2">
        <v>2.7758003633403181</v>
      </c>
      <c r="N24" s="2">
        <v>6.5665771115729996E-3</v>
      </c>
      <c r="O24" s="2">
        <v>5569</v>
      </c>
      <c r="P24" s="2" t="s">
        <v>136</v>
      </c>
      <c r="Q24" s="2">
        <v>1</v>
      </c>
      <c r="R24" s="2">
        <v>-0.60004036166248154</v>
      </c>
      <c r="S24" s="2">
        <v>0.99999992087193557</v>
      </c>
    </row>
    <row r="25" spans="1:19" ht="16" x14ac:dyDescent="0.2">
      <c r="A25" s="2" t="s">
        <v>182</v>
      </c>
      <c r="B25" s="2" t="s">
        <v>173</v>
      </c>
      <c r="C25" s="2" t="s">
        <v>227</v>
      </c>
      <c r="D25" s="2">
        <v>156</v>
      </c>
      <c r="E25" s="2">
        <v>76.735653792215686</v>
      </c>
      <c r="F25" s="2">
        <v>6.9629243746331229</v>
      </c>
      <c r="G25" s="2">
        <v>7947135</v>
      </c>
      <c r="H25" s="2">
        <v>16.056935816493251</v>
      </c>
      <c r="I25" s="2" t="b">
        <v>1</v>
      </c>
      <c r="J25" s="2" t="s">
        <v>22</v>
      </c>
      <c r="K25" s="2" t="s">
        <v>88</v>
      </c>
      <c r="L25" s="2" t="s">
        <v>193</v>
      </c>
      <c r="M25" s="2">
        <v>6.2831111681876681</v>
      </c>
      <c r="N25" s="2">
        <v>3.7333039901297463E-7</v>
      </c>
      <c r="O25" s="2">
        <v>39104</v>
      </c>
      <c r="P25" s="2" t="s">
        <v>184</v>
      </c>
      <c r="Q25" s="2">
        <v>3</v>
      </c>
      <c r="R25" s="2">
        <v>4.75900000255845E-2</v>
      </c>
      <c r="S25" s="2">
        <v>0.82368023450783256</v>
      </c>
    </row>
    <row r="26" spans="1:19" ht="16" x14ac:dyDescent="0.2">
      <c r="A26" s="2" t="s">
        <v>234</v>
      </c>
      <c r="B26" s="2" t="s">
        <v>173</v>
      </c>
      <c r="C26" s="2" t="s">
        <v>235</v>
      </c>
      <c r="D26" s="2">
        <v>367</v>
      </c>
      <c r="E26" s="2">
        <v>71.000667206109895</v>
      </c>
      <c r="F26" s="2">
        <v>28.999332793890101</v>
      </c>
      <c r="G26" s="2">
        <v>70443</v>
      </c>
      <c r="H26" s="2">
        <v>18.982610295808989</v>
      </c>
      <c r="I26" s="2" t="b">
        <v>0</v>
      </c>
      <c r="J26" s="2" t="s">
        <v>22</v>
      </c>
      <c r="K26" s="2" t="s">
        <v>135</v>
      </c>
      <c r="L26" s="2" t="s">
        <v>193</v>
      </c>
      <c r="M26" s="2">
        <v>2.4144931339786169</v>
      </c>
      <c r="N26" s="2">
        <v>5.7441483166786001E-3</v>
      </c>
      <c r="O26" s="2">
        <v>13550</v>
      </c>
      <c r="P26" s="2" t="s">
        <v>136</v>
      </c>
      <c r="Q26" s="2">
        <v>1</v>
      </c>
      <c r="R26" s="2">
        <v>0.82942454614538286</v>
      </c>
      <c r="S26" s="2">
        <v>8.9193383041405297E-2</v>
      </c>
    </row>
    <row r="27" spans="1:19" ht="16" x14ac:dyDescent="0.2">
      <c r="A27" s="2" t="s">
        <v>236</v>
      </c>
      <c r="B27" s="2" t="s">
        <v>173</v>
      </c>
      <c r="C27" s="2" t="s">
        <v>237</v>
      </c>
      <c r="D27" s="2">
        <v>293</v>
      </c>
      <c r="E27" s="2">
        <v>71.258965125536747</v>
      </c>
      <c r="F27" s="2">
        <v>10.688861424892821</v>
      </c>
      <c r="G27" s="2">
        <v>300191</v>
      </c>
      <c r="H27" s="2">
        <v>29.065560793487641</v>
      </c>
      <c r="I27" s="2" t="b">
        <v>0</v>
      </c>
      <c r="J27" s="2" t="s">
        <v>22</v>
      </c>
      <c r="K27" s="2" t="s">
        <v>135</v>
      </c>
      <c r="L27" s="2" t="s">
        <v>193</v>
      </c>
      <c r="M27" s="2">
        <v>2.377963125671323</v>
      </c>
      <c r="N27" s="2">
        <v>7.8972426157613001E-3</v>
      </c>
      <c r="O27" s="2">
        <v>15448</v>
      </c>
      <c r="P27" s="2" t="s">
        <v>136</v>
      </c>
      <c r="Q27" s="2">
        <v>1</v>
      </c>
      <c r="R27" s="2">
        <v>2.1307274790837751</v>
      </c>
      <c r="S27" s="2">
        <v>3.4026553268920001E-4</v>
      </c>
    </row>
    <row r="28" spans="1:19" ht="16" x14ac:dyDescent="0.2">
      <c r="A28" s="2" t="s">
        <v>190</v>
      </c>
      <c r="B28" s="2" t="s">
        <v>173</v>
      </c>
      <c r="C28" s="2" t="s">
        <v>227</v>
      </c>
      <c r="D28" s="2">
        <v>156</v>
      </c>
      <c r="E28" s="2">
        <v>89.447042461112616</v>
      </c>
      <c r="F28" s="2">
        <v>0.52540024819270215</v>
      </c>
      <c r="G28" s="2">
        <v>5138749</v>
      </c>
      <c r="H28" s="2">
        <v>14.7999499949597</v>
      </c>
      <c r="I28" s="2" t="b">
        <v>1</v>
      </c>
      <c r="J28" s="2" t="s">
        <v>22</v>
      </c>
      <c r="K28" s="2" t="s">
        <v>88</v>
      </c>
      <c r="L28" s="2" t="s">
        <v>193</v>
      </c>
      <c r="M28" s="2">
        <v>6.686851822713364</v>
      </c>
      <c r="N28" s="2">
        <v>3.7333039901297463E-7</v>
      </c>
      <c r="O28" s="2">
        <v>18582</v>
      </c>
      <c r="P28" s="2" t="s">
        <v>184</v>
      </c>
      <c r="Q28" s="2">
        <v>3</v>
      </c>
      <c r="R28" s="2">
        <v>-1.05741964597065E-2</v>
      </c>
      <c r="S28" s="2">
        <v>0.89740665421480015</v>
      </c>
    </row>
    <row r="29" spans="1:19" ht="16" x14ac:dyDescent="0.2">
      <c r="A29" s="2" t="s">
        <v>238</v>
      </c>
      <c r="B29" s="2" t="s">
        <v>173</v>
      </c>
      <c r="C29" s="2" t="s">
        <v>227</v>
      </c>
      <c r="D29" s="2">
        <v>156</v>
      </c>
      <c r="E29" s="2">
        <v>75.764451699866655</v>
      </c>
      <c r="F29" s="2">
        <v>5.6350356515050306</v>
      </c>
      <c r="G29" s="2">
        <v>829418</v>
      </c>
      <c r="H29" s="2">
        <v>22.890815801926479</v>
      </c>
      <c r="I29" s="2" t="b">
        <v>1</v>
      </c>
      <c r="J29" s="2" t="s">
        <v>22</v>
      </c>
      <c r="K29" s="2" t="s">
        <v>88</v>
      </c>
      <c r="L29" s="2" t="s">
        <v>193</v>
      </c>
      <c r="M29" s="2">
        <v>4.925740967277549</v>
      </c>
      <c r="N29" s="2">
        <v>8.8934267995771367E-6</v>
      </c>
      <c r="O29" s="2">
        <v>12790</v>
      </c>
      <c r="P29" s="2" t="s">
        <v>89</v>
      </c>
      <c r="Q29" s="2">
        <v>3</v>
      </c>
      <c r="R29" s="2">
        <v>-0.69639497449949561</v>
      </c>
      <c r="S29" s="2">
        <v>0.99999992087193557</v>
      </c>
    </row>
  </sheetData>
  <conditionalFormatting sqref="E1:E1048576">
    <cfRule type="colorScale" priority="5">
      <colorScale>
        <cfvo type="min"/>
        <cfvo type="max"/>
        <color rgb="FFFCFCFF"/>
        <color rgb="FFF8696B"/>
      </colorScale>
    </cfRule>
  </conditionalFormatting>
  <conditionalFormatting sqref="I1:I1048576">
    <cfRule type="containsText" dxfId="0" priority="6" operator="containsText" text="TRUE">
      <formula>NOT(ISERROR(SEARCH("TRUE",I1)))</formula>
    </cfRule>
  </conditionalFormatting>
  <conditionalFormatting sqref="M1:M1048576">
    <cfRule type="colorScale" priority="4">
      <colorScale>
        <cfvo type="min"/>
        <cfvo type="max"/>
        <color rgb="FFFCFCFF"/>
        <color rgb="FF63BE7B"/>
      </colorScale>
    </cfRule>
  </conditionalFormatting>
  <conditionalFormatting sqref="N1:N1048576">
    <cfRule type="colorScale" priority="3">
      <colorScale>
        <cfvo type="min"/>
        <cfvo type="max"/>
        <color rgb="FF63BE7B"/>
        <color rgb="FFFCFCFF"/>
      </colorScale>
    </cfRule>
  </conditionalFormatting>
  <conditionalFormatting sqref="R1:R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ABE</vt:lpstr>
      <vt:lpstr>CBE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Gould</cp:lastModifiedBy>
  <dcterms:created xsi:type="dcterms:W3CDTF">2026-03-08T21:44:09Z</dcterms:created>
  <dcterms:modified xsi:type="dcterms:W3CDTF">2026-03-08T22:01:08Z</dcterms:modified>
</cp:coreProperties>
</file>