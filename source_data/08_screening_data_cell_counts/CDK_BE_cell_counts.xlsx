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08_screening_data_cell_counts/"/>
    </mc:Choice>
  </mc:AlternateContent>
  <xr:revisionPtr revIDLastSave="0" documentId="13_ncr:1_{3D0C1A9C-51F4-B240-AA96-0CA8A9805B59}" xr6:coauthVersionLast="47" xr6:coauthVersionMax="47" xr10:uidLastSave="{00000000-0000-0000-0000-000000000000}"/>
  <bookViews>
    <workbookView xWindow="0" yWindow="740" windowWidth="30240" windowHeight="18900" activeTab="8" xr2:uid="{00000000-000D-0000-FFFF-FFFF00000000}"/>
  </bookViews>
  <sheets>
    <sheet name="CBE_screen" sheetId="1" r:id="rId1"/>
    <sheet name="ABE_screen" sheetId="2" r:id="rId2"/>
    <sheet name="CBE SY-5609" sheetId="3" r:id="rId3"/>
    <sheet name="ABE SY-5609" sheetId="4" r:id="rId4"/>
    <sheet name="KB-0742 compound mutants" sheetId="5" r:id="rId5"/>
    <sheet name="CBE_CDK12_13" sheetId="6" r:id="rId6"/>
    <sheet name="ABE_CDK12_13" sheetId="7" r:id="rId7"/>
    <sheet name="CBE_CDK2_4_6" sheetId="8" r:id="rId8"/>
    <sheet name="ABE_CDK2_4_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2" i="2" l="1"/>
  <c r="P321" i="2"/>
  <c r="P320" i="2"/>
  <c r="P310" i="2"/>
  <c r="P309" i="2"/>
  <c r="P308" i="2"/>
  <c r="P281" i="2"/>
  <c r="P282" i="2"/>
  <c r="P271" i="2"/>
  <c r="P270" i="2"/>
  <c r="P269" i="2"/>
  <c r="P256" i="2"/>
  <c r="P193" i="2"/>
  <c r="P192" i="2"/>
  <c r="P191" i="2"/>
  <c r="P181" i="2"/>
  <c r="P180" i="2"/>
  <c r="P179" i="2"/>
  <c r="P178" i="2"/>
  <c r="P177" i="2"/>
  <c r="P176" i="2"/>
  <c r="P158" i="2"/>
  <c r="P159" i="2"/>
  <c r="P160" i="2"/>
  <c r="P142" i="2"/>
  <c r="P141" i="2"/>
  <c r="P140" i="2"/>
  <c r="P56" i="2"/>
  <c r="P57" i="2"/>
  <c r="P58" i="2"/>
  <c r="Q58" i="2" s="1"/>
  <c r="Q97" i="2" s="1"/>
  <c r="Q136" i="2" s="1"/>
  <c r="P62" i="2"/>
  <c r="P63" i="2"/>
  <c r="Q63" i="2" s="1"/>
  <c r="P64" i="2"/>
  <c r="Q64" i="2" s="1"/>
  <c r="Q103" i="2" s="1"/>
  <c r="Q142" i="2" s="1"/>
  <c r="Q65" i="2"/>
  <c r="Q67" i="2"/>
  <c r="P68" i="2"/>
  <c r="Q68" i="2" s="1"/>
  <c r="P69" i="2"/>
  <c r="P70" i="2"/>
  <c r="Q72" i="2"/>
  <c r="Q111" i="2" s="1"/>
  <c r="Q150" i="2" s="1"/>
  <c r="Q189" i="2" s="1"/>
  <c r="Q73" i="2"/>
  <c r="Q112" i="2" s="1"/>
  <c r="Q151" i="2" s="1"/>
  <c r="Q190" i="2" s="1"/>
  <c r="P74" i="2"/>
  <c r="Q74" i="2" s="1"/>
  <c r="Q113" i="2" s="1"/>
  <c r="Q152" i="2" s="1"/>
  <c r="Q191" i="2" s="1"/>
  <c r="Q230" i="2" s="1"/>
  <c r="Q269" i="2" s="1"/>
  <c r="Q308" i="2" s="1"/>
  <c r="P75" i="2"/>
  <c r="Q75" i="2" s="1"/>
  <c r="Q114" i="2" s="1"/>
  <c r="Q153" i="2" s="1"/>
  <c r="P76" i="2"/>
  <c r="Q78" i="2"/>
  <c r="Q117" i="2" s="1"/>
  <c r="P80" i="2"/>
  <c r="P81" i="2"/>
  <c r="P82" i="2"/>
  <c r="P115" i="2"/>
  <c r="P114" i="2"/>
  <c r="P113" i="2"/>
  <c r="P154" i="2"/>
  <c r="P153" i="2"/>
  <c r="P152" i="2"/>
  <c r="P136" i="2"/>
  <c r="P135" i="2"/>
  <c r="P134" i="2"/>
  <c r="P133" i="2"/>
  <c r="P118" i="2"/>
  <c r="P117" i="2"/>
  <c r="P116" i="2"/>
  <c r="P105" i="2"/>
  <c r="P104" i="2"/>
  <c r="P106" i="2"/>
  <c r="P100" i="2"/>
  <c r="P99" i="2"/>
  <c r="P98" i="2"/>
  <c r="P316" i="2"/>
  <c r="P315" i="2"/>
  <c r="P314" i="2"/>
  <c r="P313" i="2"/>
  <c r="P312" i="2"/>
  <c r="P311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77" i="2"/>
  <c r="P276" i="2"/>
  <c r="P275" i="2"/>
  <c r="P274" i="2"/>
  <c r="P273" i="2"/>
  <c r="P272" i="2"/>
  <c r="P259" i="2"/>
  <c r="P258" i="2"/>
  <c r="P257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38" i="2"/>
  <c r="P237" i="2"/>
  <c r="P236" i="2"/>
  <c r="P235" i="2"/>
  <c r="P234" i="2"/>
  <c r="P233" i="2"/>
  <c r="P232" i="2"/>
  <c r="P231" i="2"/>
  <c r="P230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Q164" i="2" s="1"/>
  <c r="Q203" i="2" s="1"/>
  <c r="P163" i="2"/>
  <c r="P162" i="2"/>
  <c r="P161" i="2"/>
  <c r="P157" i="2"/>
  <c r="P156" i="2"/>
  <c r="P155" i="2"/>
  <c r="Q133" i="2"/>
  <c r="P132" i="2"/>
  <c r="P131" i="2"/>
  <c r="P130" i="2"/>
  <c r="P129" i="2"/>
  <c r="P128" i="2"/>
  <c r="P127" i="2"/>
  <c r="P126" i="2"/>
  <c r="P125" i="2"/>
  <c r="Q125" i="2" s="1"/>
  <c r="P124" i="2"/>
  <c r="Q124" i="2" s="1"/>
  <c r="P123" i="2"/>
  <c r="Q123" i="2" s="1"/>
  <c r="P122" i="2"/>
  <c r="P121" i="2"/>
  <c r="P120" i="2"/>
  <c r="P119" i="2"/>
  <c r="Q116" i="2"/>
  <c r="Q115" i="2"/>
  <c r="Q154" i="2" s="1"/>
  <c r="Q193" i="2" s="1"/>
  <c r="P109" i="2"/>
  <c r="P108" i="2"/>
  <c r="P107" i="2"/>
  <c r="P103" i="2"/>
  <c r="P102" i="2"/>
  <c r="P101" i="2"/>
  <c r="P97" i="2"/>
  <c r="P96" i="2"/>
  <c r="P95" i="2"/>
  <c r="Q95" i="2" s="1"/>
  <c r="Q134" i="2" s="1"/>
  <c r="P94" i="2"/>
  <c r="Q94" i="2" s="1"/>
  <c r="P93" i="2"/>
  <c r="P92" i="2"/>
  <c r="P91" i="2"/>
  <c r="Q91" i="2" s="1"/>
  <c r="Q130" i="2" s="1"/>
  <c r="P90" i="2"/>
  <c r="Q90" i="2" s="1"/>
  <c r="P89" i="2"/>
  <c r="Q89" i="2" s="1"/>
  <c r="P88" i="2"/>
  <c r="Q88" i="2" s="1"/>
  <c r="P87" i="2"/>
  <c r="Q87" i="2" s="1"/>
  <c r="P86" i="2"/>
  <c r="Q86" i="2" s="1"/>
  <c r="P85" i="2"/>
  <c r="Q85" i="2" s="1"/>
  <c r="P84" i="2"/>
  <c r="Q84" i="2" s="1"/>
  <c r="P83" i="2"/>
  <c r="Q83" i="2" s="1"/>
  <c r="Q82" i="2"/>
  <c r="Q81" i="2"/>
  <c r="Q80" i="2"/>
  <c r="Q79" i="2"/>
  <c r="Q77" i="2"/>
  <c r="Q76" i="2"/>
  <c r="Q71" i="2"/>
  <c r="Q110" i="2" s="1"/>
  <c r="Q149" i="2" s="1"/>
  <c r="Q188" i="2" s="1"/>
  <c r="Q70" i="2"/>
  <c r="Q69" i="2"/>
  <c r="Q66" i="2"/>
  <c r="Q62" i="2"/>
  <c r="Q61" i="2"/>
  <c r="Q60" i="2"/>
  <c r="Q59" i="2"/>
  <c r="Q57" i="2"/>
  <c r="Q56" i="2"/>
  <c r="P55" i="2"/>
  <c r="Q55" i="2" s="1"/>
  <c r="P54" i="2"/>
  <c r="Q54" i="2" s="1"/>
  <c r="Q93" i="2" s="1"/>
  <c r="P53" i="2"/>
  <c r="Q53" i="2" s="1"/>
  <c r="Q98" i="1"/>
  <c r="Q99" i="1"/>
  <c r="Q138" i="1" s="1"/>
  <c r="Q177" i="1" s="1"/>
  <c r="Q216" i="1" s="1"/>
  <c r="Q255" i="1" s="1"/>
  <c r="Q294" i="1" s="1"/>
  <c r="Q100" i="1"/>
  <c r="Q101" i="1"/>
  <c r="Q140" i="1" s="1"/>
  <c r="Q179" i="1" s="1"/>
  <c r="Q218" i="1" s="1"/>
  <c r="Q257" i="1" s="1"/>
  <c r="Q296" i="1" s="1"/>
  <c r="Q102" i="1"/>
  <c r="Q141" i="1" s="1"/>
  <c r="Q180" i="1" s="1"/>
  <c r="Q219" i="1" s="1"/>
  <c r="Q258" i="1" s="1"/>
  <c r="Q297" i="1" s="1"/>
  <c r="Q103" i="1"/>
  <c r="Q142" i="1" s="1"/>
  <c r="Q181" i="1" s="1"/>
  <c r="Q220" i="1" s="1"/>
  <c r="Q259" i="1" s="1"/>
  <c r="Q298" i="1" s="1"/>
  <c r="Q104" i="1"/>
  <c r="Q143" i="1" s="1"/>
  <c r="Q182" i="1" s="1"/>
  <c r="Q221" i="1" s="1"/>
  <c r="Q260" i="1" s="1"/>
  <c r="Q299" i="1" s="1"/>
  <c r="Q105" i="1"/>
  <c r="Q144" i="1" s="1"/>
  <c r="Q183" i="1" s="1"/>
  <c r="Q222" i="1" s="1"/>
  <c r="Q261" i="1" s="1"/>
  <c r="Q300" i="1" s="1"/>
  <c r="Q106" i="1"/>
  <c r="Q145" i="1" s="1"/>
  <c r="Q184" i="1" s="1"/>
  <c r="Q223" i="1" s="1"/>
  <c r="Q262" i="1" s="1"/>
  <c r="Q301" i="1" s="1"/>
  <c r="Q107" i="1"/>
  <c r="Q146" i="1" s="1"/>
  <c r="Q185" i="1" s="1"/>
  <c r="Q224" i="1" s="1"/>
  <c r="Q263" i="1" s="1"/>
  <c r="Q302" i="1" s="1"/>
  <c r="Q108" i="1"/>
  <c r="Q109" i="1"/>
  <c r="Q148" i="1" s="1"/>
  <c r="Q187" i="1" s="1"/>
  <c r="Q226" i="1" s="1"/>
  <c r="Q265" i="1" s="1"/>
  <c r="Q304" i="1" s="1"/>
  <c r="Q110" i="1"/>
  <c r="Q149" i="1" s="1"/>
  <c r="Q188" i="1" s="1"/>
  <c r="Q227" i="1" s="1"/>
  <c r="Q266" i="1" s="1"/>
  <c r="Q305" i="1" s="1"/>
  <c r="Q111" i="1"/>
  <c r="Q150" i="1" s="1"/>
  <c r="Q189" i="1" s="1"/>
  <c r="Q228" i="1" s="1"/>
  <c r="Q267" i="1" s="1"/>
  <c r="Q306" i="1" s="1"/>
  <c r="Q112" i="1"/>
  <c r="Q151" i="1" s="1"/>
  <c r="Q190" i="1" s="1"/>
  <c r="Q229" i="1" s="1"/>
  <c r="Q268" i="1" s="1"/>
  <c r="Q307" i="1" s="1"/>
  <c r="Q113" i="1"/>
  <c r="Q152" i="1" s="1"/>
  <c r="Q191" i="1" s="1"/>
  <c r="Q230" i="1" s="1"/>
  <c r="Q269" i="1" s="1"/>
  <c r="Q308" i="1" s="1"/>
  <c r="Q114" i="1"/>
  <c r="Q153" i="1" s="1"/>
  <c r="Q192" i="1" s="1"/>
  <c r="Q231" i="1" s="1"/>
  <c r="Q270" i="1" s="1"/>
  <c r="Q309" i="1" s="1"/>
  <c r="Q115" i="1"/>
  <c r="Q154" i="1" s="1"/>
  <c r="Q193" i="1" s="1"/>
  <c r="Q232" i="1" s="1"/>
  <c r="Q271" i="1" s="1"/>
  <c r="Q310" i="1" s="1"/>
  <c r="Q116" i="1"/>
  <c r="Q155" i="1" s="1"/>
  <c r="Q194" i="1" s="1"/>
  <c r="Q233" i="1" s="1"/>
  <c r="Q272" i="1" s="1"/>
  <c r="Q311" i="1" s="1"/>
  <c r="Q117" i="1"/>
  <c r="Q156" i="1" s="1"/>
  <c r="Q195" i="1" s="1"/>
  <c r="Q234" i="1" s="1"/>
  <c r="Q273" i="1" s="1"/>
  <c r="Q312" i="1" s="1"/>
  <c r="Q118" i="1"/>
  <c r="Q119" i="1"/>
  <c r="Q158" i="1" s="1"/>
  <c r="Q197" i="1" s="1"/>
  <c r="Q236" i="1" s="1"/>
  <c r="Q275" i="1" s="1"/>
  <c r="Q314" i="1" s="1"/>
  <c r="Q120" i="1"/>
  <c r="Q159" i="1" s="1"/>
  <c r="Q198" i="1" s="1"/>
  <c r="Q237" i="1" s="1"/>
  <c r="Q276" i="1" s="1"/>
  <c r="Q315" i="1" s="1"/>
  <c r="Q121" i="1"/>
  <c r="Q160" i="1" s="1"/>
  <c r="Q199" i="1" s="1"/>
  <c r="Q238" i="1" s="1"/>
  <c r="Q277" i="1" s="1"/>
  <c r="Q316" i="1" s="1"/>
  <c r="Q122" i="1"/>
  <c r="Q161" i="1" s="1"/>
  <c r="Q200" i="1" s="1"/>
  <c r="Q239" i="1" s="1"/>
  <c r="Q278" i="1" s="1"/>
  <c r="Q317" i="1" s="1"/>
  <c r="Q123" i="1"/>
  <c r="Q162" i="1" s="1"/>
  <c r="Q201" i="1" s="1"/>
  <c r="Q240" i="1" s="1"/>
  <c r="Q279" i="1" s="1"/>
  <c r="Q318" i="1" s="1"/>
  <c r="Q124" i="1"/>
  <c r="Q163" i="1" s="1"/>
  <c r="Q202" i="1" s="1"/>
  <c r="Q241" i="1" s="1"/>
  <c r="Q280" i="1" s="1"/>
  <c r="Q319" i="1" s="1"/>
  <c r="Q125" i="1"/>
  <c r="Q164" i="1" s="1"/>
  <c r="Q203" i="1" s="1"/>
  <c r="Q242" i="1" s="1"/>
  <c r="Q281" i="1" s="1"/>
  <c r="Q320" i="1" s="1"/>
  <c r="Q126" i="1"/>
  <c r="Q165" i="1" s="1"/>
  <c r="Q204" i="1" s="1"/>
  <c r="Q243" i="1" s="1"/>
  <c r="Q282" i="1" s="1"/>
  <c r="Q321" i="1" s="1"/>
  <c r="Q127" i="1"/>
  <c r="Q128" i="1"/>
  <c r="Q129" i="1"/>
  <c r="Q168" i="1" s="1"/>
  <c r="Q207" i="1" s="1"/>
  <c r="Q246" i="1" s="1"/>
  <c r="Q285" i="1" s="1"/>
  <c r="Q324" i="1" s="1"/>
  <c r="Q130" i="1"/>
  <c r="Q169" i="1" s="1"/>
  <c r="Q208" i="1" s="1"/>
  <c r="Q247" i="1" s="1"/>
  <c r="Q286" i="1" s="1"/>
  <c r="Q325" i="1" s="1"/>
  <c r="Q131" i="1"/>
  <c r="Q170" i="1" s="1"/>
  <c r="Q209" i="1" s="1"/>
  <c r="Q248" i="1" s="1"/>
  <c r="Q287" i="1" s="1"/>
  <c r="Q132" i="1"/>
  <c r="Q171" i="1" s="1"/>
  <c r="Q210" i="1" s="1"/>
  <c r="Q249" i="1" s="1"/>
  <c r="Q288" i="1" s="1"/>
  <c r="Q133" i="1"/>
  <c r="Q172" i="1" s="1"/>
  <c r="Q211" i="1" s="1"/>
  <c r="Q250" i="1" s="1"/>
  <c r="Q289" i="1" s="1"/>
  <c r="Q134" i="1"/>
  <c r="Q173" i="1" s="1"/>
  <c r="Q212" i="1" s="1"/>
  <c r="Q251" i="1" s="1"/>
  <c r="Q290" i="1" s="1"/>
  <c r="Q135" i="1"/>
  <c r="Q174" i="1" s="1"/>
  <c r="Q213" i="1" s="1"/>
  <c r="Q252" i="1" s="1"/>
  <c r="Q291" i="1" s="1"/>
  <c r="Q136" i="1"/>
  <c r="Q175" i="1" s="1"/>
  <c r="Q214" i="1" s="1"/>
  <c r="Q253" i="1" s="1"/>
  <c r="Q292" i="1" s="1"/>
  <c r="Q137" i="1"/>
  <c r="Q176" i="1" s="1"/>
  <c r="Q215" i="1" s="1"/>
  <c r="Q254" i="1" s="1"/>
  <c r="Q293" i="1" s="1"/>
  <c r="Q139" i="1"/>
  <c r="Q178" i="1" s="1"/>
  <c r="Q217" i="1" s="1"/>
  <c r="Q256" i="1" s="1"/>
  <c r="Q295" i="1" s="1"/>
  <c r="Q147" i="1"/>
  <c r="Q186" i="1" s="1"/>
  <c r="Q225" i="1" s="1"/>
  <c r="Q264" i="1" s="1"/>
  <c r="Q303" i="1" s="1"/>
  <c r="Q157" i="1"/>
  <c r="Q196" i="1" s="1"/>
  <c r="Q235" i="1" s="1"/>
  <c r="Q274" i="1" s="1"/>
  <c r="Q313" i="1" s="1"/>
  <c r="Q166" i="1"/>
  <c r="Q205" i="1" s="1"/>
  <c r="Q244" i="1" s="1"/>
  <c r="Q283" i="1" s="1"/>
  <c r="Q322" i="1" s="1"/>
  <c r="Q167" i="1"/>
  <c r="Q206" i="1" s="1"/>
  <c r="Q245" i="1" s="1"/>
  <c r="Q284" i="1" s="1"/>
  <c r="Q323" i="1" s="1"/>
  <c r="Q94" i="1"/>
  <c r="Q95" i="1"/>
  <c r="Q96" i="1"/>
  <c r="Q9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62" i="1"/>
  <c r="Q63" i="1"/>
  <c r="Q64" i="1"/>
  <c r="Q65" i="1"/>
  <c r="Q66" i="1"/>
  <c r="Q67" i="1"/>
  <c r="Q54" i="1"/>
  <c r="Q55" i="1"/>
  <c r="Q56" i="1"/>
  <c r="Q57" i="1"/>
  <c r="Q58" i="1"/>
  <c r="Q59" i="1"/>
  <c r="Q60" i="1"/>
  <c r="Q61" i="1"/>
  <c r="Q53" i="1"/>
  <c r="P197" i="1"/>
  <c r="P199" i="1"/>
  <c r="P198" i="1"/>
  <c r="P173" i="1"/>
  <c r="P175" i="1"/>
  <c r="P174" i="1"/>
  <c r="P181" i="1"/>
  <c r="P180" i="1"/>
  <c r="P179" i="1"/>
  <c r="P325" i="1"/>
  <c r="P324" i="1"/>
  <c r="P323" i="1"/>
  <c r="P319" i="1"/>
  <c r="P318" i="1"/>
  <c r="P317" i="1"/>
  <c r="P316" i="1"/>
  <c r="P315" i="1"/>
  <c r="P314" i="1"/>
  <c r="P313" i="1"/>
  <c r="P312" i="1"/>
  <c r="P311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1" i="1"/>
  <c r="P280" i="1"/>
  <c r="P279" i="1"/>
  <c r="P278" i="1"/>
  <c r="P277" i="1"/>
  <c r="P276" i="1"/>
  <c r="P275" i="1"/>
  <c r="P274" i="1"/>
  <c r="P273" i="1"/>
  <c r="P272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6" i="1"/>
  <c r="P195" i="1"/>
  <c r="P194" i="1"/>
  <c r="P184" i="1"/>
  <c r="P183" i="1"/>
  <c r="P182" i="1"/>
  <c r="P178" i="1"/>
  <c r="P177" i="1"/>
  <c r="P176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57" i="1"/>
  <c r="P156" i="1"/>
  <c r="P155" i="1"/>
  <c r="P145" i="1"/>
  <c r="P144" i="1"/>
  <c r="P143" i="1"/>
  <c r="P139" i="1"/>
  <c r="P138" i="1"/>
  <c r="P137" i="1"/>
  <c r="P133" i="1"/>
  <c r="P131" i="1"/>
  <c r="P132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79" i="1"/>
  <c r="P78" i="1"/>
  <c r="P77" i="1"/>
  <c r="P67" i="1"/>
  <c r="P66" i="1"/>
  <c r="P65" i="1"/>
  <c r="P61" i="1"/>
  <c r="P60" i="1"/>
  <c r="P59" i="1"/>
  <c r="P55" i="1"/>
  <c r="P54" i="1"/>
  <c r="P53" i="1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Q126" i="9" s="1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Q105" i="9" s="1"/>
  <c r="P104" i="9"/>
  <c r="P103" i="9"/>
  <c r="P102" i="9"/>
  <c r="P101" i="9"/>
  <c r="P100" i="9"/>
  <c r="P99" i="9"/>
  <c r="P98" i="9"/>
  <c r="P97" i="9"/>
  <c r="P96" i="9"/>
  <c r="Q96" i="9" s="1"/>
  <c r="P95" i="9"/>
  <c r="P94" i="9"/>
  <c r="Q94" i="9" s="1"/>
  <c r="P93" i="9"/>
  <c r="P92" i="9"/>
  <c r="Q92" i="9" s="1"/>
  <c r="P91" i="9"/>
  <c r="P90" i="9"/>
  <c r="Q90" i="9" s="1"/>
  <c r="P89" i="9"/>
  <c r="P88" i="9"/>
  <c r="P87" i="9"/>
  <c r="P86" i="9"/>
  <c r="Q86" i="9" s="1"/>
  <c r="P85" i="9"/>
  <c r="P84" i="9"/>
  <c r="Q84" i="9" s="1"/>
  <c r="P83" i="9"/>
  <c r="P82" i="9"/>
  <c r="P81" i="9"/>
  <c r="Q81" i="9" s="1"/>
  <c r="P80" i="9"/>
  <c r="P79" i="9"/>
  <c r="P78" i="9"/>
  <c r="P77" i="9"/>
  <c r="Q77" i="9" s="1"/>
  <c r="P76" i="9"/>
  <c r="P75" i="9"/>
  <c r="Q75" i="9" s="1"/>
  <c r="P74" i="9"/>
  <c r="P73" i="9"/>
  <c r="Q73" i="9" s="1"/>
  <c r="P72" i="9"/>
  <c r="Q72" i="9" s="1"/>
  <c r="P71" i="9"/>
  <c r="Q71" i="9" s="1"/>
  <c r="P70" i="9"/>
  <c r="Q70" i="9" s="1"/>
  <c r="Q91" i="9" s="1"/>
  <c r="P69" i="9"/>
  <c r="Q69" i="9" s="1"/>
  <c r="P68" i="9"/>
  <c r="Q68" i="9" s="1"/>
  <c r="P67" i="9"/>
  <c r="P66" i="9"/>
  <c r="Q66" i="9" s="1"/>
  <c r="Q65" i="9"/>
  <c r="P65" i="9"/>
  <c r="P64" i="9"/>
  <c r="Q64" i="9" s="1"/>
  <c r="Q85" i="9" s="1"/>
  <c r="P63" i="9"/>
  <c r="Q63" i="9" s="1"/>
  <c r="Q62" i="9"/>
  <c r="P62" i="9"/>
  <c r="P61" i="9"/>
  <c r="Q61" i="9" s="1"/>
  <c r="P60" i="9"/>
  <c r="Q60" i="9" s="1"/>
  <c r="P59" i="9"/>
  <c r="P58" i="9"/>
  <c r="P57" i="9"/>
  <c r="Q57" i="9" s="1"/>
  <c r="Q56" i="9"/>
  <c r="P56" i="9"/>
  <c r="P55" i="9"/>
  <c r="Q55" i="9" s="1"/>
  <c r="Q76" i="9" s="1"/>
  <c r="Q54" i="9"/>
  <c r="P54" i="9"/>
  <c r="P53" i="9"/>
  <c r="Q52" i="9"/>
  <c r="P52" i="9"/>
  <c r="Q51" i="9"/>
  <c r="P51" i="9"/>
  <c r="Q50" i="9"/>
  <c r="P50" i="9"/>
  <c r="Q49" i="9"/>
  <c r="P49" i="9"/>
  <c r="Q48" i="9"/>
  <c r="P48" i="9"/>
  <c r="Q47" i="9"/>
  <c r="Y37" i="9" s="1"/>
  <c r="P47" i="9"/>
  <c r="Q46" i="9"/>
  <c r="P46" i="9"/>
  <c r="Q45" i="9"/>
  <c r="P45" i="9"/>
  <c r="Q44" i="9"/>
  <c r="P44" i="9"/>
  <c r="Q43" i="9"/>
  <c r="P43" i="9"/>
  <c r="Q42" i="9"/>
  <c r="P42" i="9"/>
  <c r="Q41" i="9"/>
  <c r="W37" i="9" s="1"/>
  <c r="P41" i="9"/>
  <c r="Q40" i="9"/>
  <c r="P40" i="9"/>
  <c r="Q39" i="9"/>
  <c r="P39" i="9"/>
  <c r="Q38" i="9"/>
  <c r="P38" i="9"/>
  <c r="Q37" i="9"/>
  <c r="P37" i="9"/>
  <c r="Q36" i="9"/>
  <c r="P36" i="9"/>
  <c r="Q35" i="9"/>
  <c r="P35" i="9"/>
  <c r="Q34" i="9"/>
  <c r="P34" i="9"/>
  <c r="Q33" i="9"/>
  <c r="P33" i="9"/>
  <c r="Q32" i="9"/>
  <c r="P32" i="9"/>
  <c r="Y27" i="9"/>
  <c r="X27" i="9"/>
  <c r="W27" i="9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X15" i="8" s="1"/>
  <c r="P107" i="8"/>
  <c r="P106" i="8"/>
  <c r="P105" i="8"/>
  <c r="P104" i="8"/>
  <c r="P103" i="8"/>
  <c r="V15" i="8" s="1"/>
  <c r="P102" i="8"/>
  <c r="P101" i="8"/>
  <c r="P100" i="8"/>
  <c r="P99" i="8"/>
  <c r="P98" i="8"/>
  <c r="U15" i="8" s="1"/>
  <c r="P97" i="8"/>
  <c r="P96" i="8"/>
  <c r="P95" i="8"/>
  <c r="P94" i="8"/>
  <c r="P93" i="8"/>
  <c r="P92" i="8"/>
  <c r="P91" i="8"/>
  <c r="P90" i="8"/>
  <c r="P89" i="8"/>
  <c r="P88" i="8"/>
  <c r="X14" i="8" s="1"/>
  <c r="P87" i="8"/>
  <c r="P86" i="8"/>
  <c r="P85" i="8"/>
  <c r="P84" i="8"/>
  <c r="P83" i="8"/>
  <c r="P82" i="8"/>
  <c r="Q82" i="8" s="1"/>
  <c r="Q103" i="8" s="1"/>
  <c r="P81" i="8"/>
  <c r="P80" i="8"/>
  <c r="P79" i="8"/>
  <c r="P78" i="8"/>
  <c r="P77" i="8"/>
  <c r="P76" i="8"/>
  <c r="P75" i="8"/>
  <c r="P74" i="8"/>
  <c r="P73" i="8"/>
  <c r="Q72" i="8"/>
  <c r="P72" i="8"/>
  <c r="Q71" i="8"/>
  <c r="P71" i="8"/>
  <c r="P70" i="8"/>
  <c r="Q70" i="8" s="1"/>
  <c r="Q91" i="8" s="1"/>
  <c r="P69" i="8"/>
  <c r="P68" i="8"/>
  <c r="Q67" i="8"/>
  <c r="P67" i="8"/>
  <c r="P66" i="8"/>
  <c r="Q65" i="8"/>
  <c r="Q86" i="8" s="1"/>
  <c r="P65" i="8"/>
  <c r="X13" i="8" s="1"/>
  <c r="P64" i="8"/>
  <c r="Q64" i="8" s="1"/>
  <c r="P63" i="8"/>
  <c r="P62" i="8"/>
  <c r="P61" i="8"/>
  <c r="P60" i="8"/>
  <c r="P59" i="8"/>
  <c r="Q58" i="8"/>
  <c r="P58" i="8"/>
  <c r="U13" i="8" s="1"/>
  <c r="P57" i="8"/>
  <c r="Q56" i="8"/>
  <c r="P56" i="8"/>
  <c r="P55" i="8"/>
  <c r="P54" i="8"/>
  <c r="Q53" i="8"/>
  <c r="P53" i="8"/>
  <c r="Q52" i="8"/>
  <c r="Z37" i="8" s="1"/>
  <c r="P52" i="8"/>
  <c r="Q51" i="8"/>
  <c r="P51" i="8"/>
  <c r="Q50" i="8"/>
  <c r="P50" i="8"/>
  <c r="Q49" i="8"/>
  <c r="P49" i="8"/>
  <c r="Y12" i="8" s="1"/>
  <c r="Q48" i="8"/>
  <c r="P48" i="8"/>
  <c r="Q47" i="8"/>
  <c r="P47" i="8"/>
  <c r="Q46" i="8"/>
  <c r="P46" i="8"/>
  <c r="Q45" i="8"/>
  <c r="X37" i="8" s="1"/>
  <c r="P45" i="8"/>
  <c r="Q44" i="8"/>
  <c r="P44" i="8"/>
  <c r="X12" i="8" s="1"/>
  <c r="Q43" i="8"/>
  <c r="P43" i="8"/>
  <c r="Q42" i="8"/>
  <c r="Q63" i="8" s="1"/>
  <c r="P42" i="8"/>
  <c r="Q41" i="8"/>
  <c r="P41" i="8"/>
  <c r="W12" i="8" s="1"/>
  <c r="Q40" i="8"/>
  <c r="Q61" i="8" s="1"/>
  <c r="P40" i="8"/>
  <c r="Q39" i="8"/>
  <c r="Q60" i="8" s="1"/>
  <c r="P39" i="8"/>
  <c r="Q38" i="8"/>
  <c r="P38" i="8"/>
  <c r="T37" i="8"/>
  <c r="Q37" i="8"/>
  <c r="P37" i="8"/>
  <c r="Q36" i="8"/>
  <c r="P36" i="8"/>
  <c r="Q35" i="8"/>
  <c r="P35" i="8"/>
  <c r="Q34" i="8"/>
  <c r="T27" i="8" s="1"/>
  <c r="P34" i="8"/>
  <c r="Q33" i="8"/>
  <c r="P33" i="8"/>
  <c r="Q32" i="8"/>
  <c r="P32" i="8"/>
  <c r="T12" i="8" s="1"/>
  <c r="U27" i="8"/>
  <c r="Y14" i="8"/>
  <c r="V14" i="8"/>
  <c r="Z13" i="8"/>
  <c r="Y13" i="8"/>
  <c r="Z12" i="8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Q72" i="7" s="1"/>
  <c r="Q84" i="7" s="1"/>
  <c r="P71" i="7"/>
  <c r="P70" i="7"/>
  <c r="P69" i="7"/>
  <c r="P68" i="7"/>
  <c r="P67" i="7"/>
  <c r="P66" i="7"/>
  <c r="P65" i="7"/>
  <c r="P64" i="7"/>
  <c r="P63" i="7"/>
  <c r="P62" i="7"/>
  <c r="P61" i="7"/>
  <c r="Q61" i="7" s="1"/>
  <c r="Q73" i="7" s="1"/>
  <c r="Q60" i="7"/>
  <c r="P60" i="7"/>
  <c r="P59" i="7"/>
  <c r="P58" i="7"/>
  <c r="P57" i="7"/>
  <c r="P56" i="7"/>
  <c r="Q55" i="7"/>
  <c r="P55" i="7"/>
  <c r="P54" i="7"/>
  <c r="P53" i="7"/>
  <c r="Q53" i="7" s="1"/>
  <c r="P52" i="7"/>
  <c r="P51" i="7"/>
  <c r="P50" i="7"/>
  <c r="Q49" i="7"/>
  <c r="P49" i="7"/>
  <c r="P48" i="7"/>
  <c r="P47" i="7"/>
  <c r="P46" i="7"/>
  <c r="Q46" i="7" s="1"/>
  <c r="Q58" i="7" s="1"/>
  <c r="P45" i="7"/>
  <c r="Q44" i="7"/>
  <c r="Q56" i="7" s="1"/>
  <c r="Q68" i="7" s="1"/>
  <c r="P44" i="7"/>
  <c r="P43" i="7"/>
  <c r="Q43" i="7" s="1"/>
  <c r="P42" i="7"/>
  <c r="P41" i="7"/>
  <c r="Q40" i="7"/>
  <c r="P40" i="7"/>
  <c r="P39" i="7"/>
  <c r="P38" i="7"/>
  <c r="P37" i="7"/>
  <c r="Q37" i="7" s="1"/>
  <c r="P36" i="7"/>
  <c r="Q36" i="7" s="1"/>
  <c r="Q48" i="7" s="1"/>
  <c r="P35" i="7"/>
  <c r="Q35" i="7" s="1"/>
  <c r="Q34" i="7"/>
  <c r="P34" i="7"/>
  <c r="P33" i="7"/>
  <c r="Q33" i="7" s="1"/>
  <c r="Q45" i="7" s="1"/>
  <c r="P32" i="7"/>
  <c r="Q32" i="7" s="1"/>
  <c r="Q31" i="7"/>
  <c r="P31" i="7"/>
  <c r="Q30" i="7"/>
  <c r="P30" i="7"/>
  <c r="Q29" i="7"/>
  <c r="Q41" i="7" s="1"/>
  <c r="P29" i="7"/>
  <c r="P28" i="7"/>
  <c r="Q28" i="7" s="1"/>
  <c r="P27" i="7"/>
  <c r="Q27" i="7" s="1"/>
  <c r="P26" i="7"/>
  <c r="Q26" i="7" s="1"/>
  <c r="Q38" i="7" s="1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Q67" i="6"/>
  <c r="Q79" i="6" s="1"/>
  <c r="P67" i="6"/>
  <c r="P66" i="6"/>
  <c r="P65" i="6"/>
  <c r="P64" i="6"/>
  <c r="P63" i="6"/>
  <c r="P62" i="6"/>
  <c r="P61" i="6"/>
  <c r="P60" i="6"/>
  <c r="Q60" i="6" s="1"/>
  <c r="Q72" i="6" s="1"/>
  <c r="P59" i="6"/>
  <c r="Q59" i="6" s="1"/>
  <c r="P58" i="6"/>
  <c r="P57" i="6"/>
  <c r="P56" i="6"/>
  <c r="Q55" i="6"/>
  <c r="P55" i="6"/>
  <c r="P54" i="6"/>
  <c r="P53" i="6"/>
  <c r="Q52" i="6"/>
  <c r="Q64" i="6" s="1"/>
  <c r="P52" i="6"/>
  <c r="P51" i="6"/>
  <c r="P50" i="6"/>
  <c r="P49" i="6"/>
  <c r="P48" i="6"/>
  <c r="Q48" i="6" s="1"/>
  <c r="P47" i="6"/>
  <c r="Q47" i="6" s="1"/>
  <c r="P46" i="6"/>
  <c r="P45" i="6"/>
  <c r="Q44" i="6"/>
  <c r="P44" i="6"/>
  <c r="Q43" i="6"/>
  <c r="P43" i="6"/>
  <c r="P42" i="6"/>
  <c r="P41" i="6"/>
  <c r="Q41" i="6" s="1"/>
  <c r="P40" i="6"/>
  <c r="P39" i="6"/>
  <c r="Q39" i="6" s="1"/>
  <c r="P38" i="6"/>
  <c r="P37" i="6"/>
  <c r="Q37" i="6" s="1"/>
  <c r="P36" i="6"/>
  <c r="Q36" i="6" s="1"/>
  <c r="Q35" i="6"/>
  <c r="P35" i="6"/>
  <c r="P34" i="6"/>
  <c r="Q34" i="6" s="1"/>
  <c r="Q33" i="6"/>
  <c r="P33" i="6"/>
  <c r="Q32" i="6"/>
  <c r="P32" i="6"/>
  <c r="P31" i="6"/>
  <c r="Q31" i="6" s="1"/>
  <c r="P30" i="6"/>
  <c r="Q30" i="6" s="1"/>
  <c r="Q42" i="6" s="1"/>
  <c r="V28" i="6" s="1"/>
  <c r="P29" i="6"/>
  <c r="Q29" i="6" s="1"/>
  <c r="P28" i="6"/>
  <c r="Q28" i="6" s="1"/>
  <c r="Q40" i="6" s="1"/>
  <c r="P27" i="6"/>
  <c r="Q27" i="6" s="1"/>
  <c r="Q26" i="6"/>
  <c r="T27" i="6" s="1"/>
  <c r="P26" i="6"/>
  <c r="O76" i="5"/>
  <c r="O75" i="5"/>
  <c r="O74" i="5"/>
  <c r="O73" i="5"/>
  <c r="O72" i="5"/>
  <c r="O71" i="5"/>
  <c r="O67" i="5"/>
  <c r="O66" i="5"/>
  <c r="O65" i="5"/>
  <c r="O64" i="5"/>
  <c r="O63" i="5"/>
  <c r="O62" i="5"/>
  <c r="O58" i="5"/>
  <c r="O57" i="5"/>
  <c r="O56" i="5"/>
  <c r="O55" i="5"/>
  <c r="O54" i="5"/>
  <c r="O53" i="5"/>
  <c r="O49" i="5"/>
  <c r="O48" i="5"/>
  <c r="O47" i="5"/>
  <c r="O46" i="5"/>
  <c r="O45" i="5"/>
  <c r="O44" i="5"/>
  <c r="O43" i="5"/>
  <c r="P42" i="5"/>
  <c r="X6" i="5" s="1"/>
  <c r="O42" i="5"/>
  <c r="O41" i="5"/>
  <c r="O40" i="5"/>
  <c r="O39" i="5"/>
  <c r="P38" i="5"/>
  <c r="T6" i="5" s="1"/>
  <c r="O38" i="5"/>
  <c r="O37" i="5"/>
  <c r="P36" i="5"/>
  <c r="X5" i="5" s="1"/>
  <c r="O36" i="5"/>
  <c r="O35" i="5"/>
  <c r="P35" i="5" s="1"/>
  <c r="W5" i="5" s="1"/>
  <c r="O34" i="5"/>
  <c r="O33" i="5"/>
  <c r="O32" i="5"/>
  <c r="P31" i="5"/>
  <c r="Y4" i="5" s="1"/>
  <c r="O31" i="5"/>
  <c r="O30" i="5"/>
  <c r="P30" i="5" s="1"/>
  <c r="O29" i="5"/>
  <c r="P29" i="5" s="1"/>
  <c r="W4" i="5" s="1"/>
  <c r="P28" i="5"/>
  <c r="V4" i="5" s="1"/>
  <c r="O28" i="5"/>
  <c r="P27" i="5"/>
  <c r="U4" i="5" s="1"/>
  <c r="O27" i="5"/>
  <c r="O26" i="5"/>
  <c r="P26" i="5" s="1"/>
  <c r="P32" i="5" s="1"/>
  <c r="T5" i="5" s="1"/>
  <c r="X4" i="5"/>
  <c r="T4" i="5"/>
  <c r="O106" i="4"/>
  <c r="M106" i="4"/>
  <c r="O105" i="4"/>
  <c r="M105" i="4"/>
  <c r="O104" i="4"/>
  <c r="M104" i="4"/>
  <c r="O103" i="4"/>
  <c r="M103" i="4"/>
  <c r="O102" i="4"/>
  <c r="M102" i="4"/>
  <c r="O101" i="4"/>
  <c r="M101" i="4"/>
  <c r="O100" i="4"/>
  <c r="M100" i="4"/>
  <c r="M99" i="4"/>
  <c r="O98" i="4"/>
  <c r="M98" i="4"/>
  <c r="O91" i="4"/>
  <c r="M91" i="4"/>
  <c r="K91" i="4"/>
  <c r="O90" i="4"/>
  <c r="K90" i="4"/>
  <c r="K89" i="4"/>
  <c r="M89" i="4" s="1"/>
  <c r="O88" i="4"/>
  <c r="O87" i="4"/>
  <c r="O86" i="4"/>
  <c r="O85" i="4"/>
  <c r="O84" i="4"/>
  <c r="O83" i="4"/>
  <c r="O82" i="4"/>
  <c r="K82" i="4"/>
  <c r="K81" i="4"/>
  <c r="K80" i="4"/>
  <c r="O89" i="4" s="1"/>
  <c r="K73" i="4"/>
  <c r="K72" i="4"/>
  <c r="O81" i="4" s="1"/>
  <c r="O71" i="4"/>
  <c r="K71" i="4"/>
  <c r="O80" i="4" s="1"/>
  <c r="O70" i="4"/>
  <c r="O69" i="4"/>
  <c r="O68" i="4"/>
  <c r="O67" i="4"/>
  <c r="O66" i="4"/>
  <c r="O65" i="4"/>
  <c r="K64" i="4"/>
  <c r="O73" i="4" s="1"/>
  <c r="O63" i="4"/>
  <c r="K63" i="4"/>
  <c r="O72" i="4" s="1"/>
  <c r="K62" i="4"/>
  <c r="K55" i="4"/>
  <c r="O64" i="4" s="1"/>
  <c r="K54" i="4"/>
  <c r="K53" i="4"/>
  <c r="O62" i="4" s="1"/>
  <c r="O52" i="4"/>
  <c r="O51" i="4"/>
  <c r="O50" i="4"/>
  <c r="O49" i="4"/>
  <c r="O48" i="4"/>
  <c r="O47" i="4"/>
  <c r="K46" i="4"/>
  <c r="O55" i="4" s="1"/>
  <c r="K45" i="4"/>
  <c r="O54" i="4" s="1"/>
  <c r="O44" i="4"/>
  <c r="K44" i="4"/>
  <c r="O53" i="4" s="1"/>
  <c r="K37" i="4"/>
  <c r="O46" i="4" s="1"/>
  <c r="P36" i="4"/>
  <c r="T12" i="4" s="1"/>
  <c r="K36" i="4"/>
  <c r="O45" i="4" s="1"/>
  <c r="O35" i="4"/>
  <c r="K35" i="4"/>
  <c r="O34" i="4"/>
  <c r="O33" i="4"/>
  <c r="O32" i="4"/>
  <c r="P32" i="4" s="1"/>
  <c r="O31" i="4"/>
  <c r="K28" i="4"/>
  <c r="O37" i="4" s="1"/>
  <c r="O27" i="4"/>
  <c r="P27" i="4" s="1"/>
  <c r="K27" i="4"/>
  <c r="O36" i="4" s="1"/>
  <c r="K26" i="4"/>
  <c r="O25" i="4"/>
  <c r="P25" i="4" s="1"/>
  <c r="AA10" i="4" s="1"/>
  <c r="O24" i="4"/>
  <c r="P24" i="4" s="1"/>
  <c r="P33" i="4" s="1"/>
  <c r="Z11" i="4" s="1"/>
  <c r="P23" i="4"/>
  <c r="O23" i="4"/>
  <c r="P22" i="4"/>
  <c r="X10" i="4" s="1"/>
  <c r="O22" i="4"/>
  <c r="K22" i="4"/>
  <c r="O21" i="4"/>
  <c r="P21" i="4" s="1"/>
  <c r="W10" i="4" s="1"/>
  <c r="K21" i="4"/>
  <c r="O30" i="4" s="1"/>
  <c r="P30" i="4" s="1"/>
  <c r="P20" i="4"/>
  <c r="O20" i="4"/>
  <c r="K20" i="4"/>
  <c r="O29" i="4" s="1"/>
  <c r="P29" i="4" s="1"/>
  <c r="P19" i="4"/>
  <c r="U10" i="4" s="1"/>
  <c r="O19" i="4"/>
  <c r="K19" i="4"/>
  <c r="O28" i="4" s="1"/>
  <c r="P28" i="4" s="1"/>
  <c r="U11" i="4" s="1"/>
  <c r="P18" i="4"/>
  <c r="O18" i="4"/>
  <c r="K18" i="4"/>
  <c r="O17" i="4"/>
  <c r="P17" i="4" s="1"/>
  <c r="K17" i="4"/>
  <c r="O26" i="4" s="1"/>
  <c r="P26" i="4" s="1"/>
  <c r="P35" i="4" s="1"/>
  <c r="T11" i="4"/>
  <c r="S11" i="4"/>
  <c r="Y10" i="4"/>
  <c r="V10" i="4"/>
  <c r="T10" i="4"/>
  <c r="S10" i="4"/>
  <c r="O88" i="3"/>
  <c r="M88" i="3"/>
  <c r="O87" i="3"/>
  <c r="M87" i="3"/>
  <c r="O86" i="3"/>
  <c r="M86" i="3"/>
  <c r="O85" i="3"/>
  <c r="M85" i="3"/>
  <c r="O84" i="3"/>
  <c r="M84" i="3"/>
  <c r="O83" i="3"/>
  <c r="M83" i="3"/>
  <c r="O82" i="3"/>
  <c r="M82" i="3"/>
  <c r="O81" i="3"/>
  <c r="M81" i="3"/>
  <c r="M80" i="3"/>
  <c r="K73" i="3"/>
  <c r="K72" i="3"/>
  <c r="K71" i="3"/>
  <c r="O80" i="3" s="1"/>
  <c r="O70" i="3"/>
  <c r="O69" i="3"/>
  <c r="O68" i="3"/>
  <c r="O67" i="3"/>
  <c r="O66" i="3"/>
  <c r="O65" i="3"/>
  <c r="K64" i="3"/>
  <c r="O73" i="3" s="1"/>
  <c r="O63" i="3"/>
  <c r="K63" i="3"/>
  <c r="O72" i="3" s="1"/>
  <c r="O62" i="3"/>
  <c r="K62" i="3"/>
  <c r="O71" i="3" s="1"/>
  <c r="K55" i="3"/>
  <c r="O64" i="3" s="1"/>
  <c r="O54" i="3"/>
  <c r="K54" i="3"/>
  <c r="O53" i="3"/>
  <c r="K53" i="3"/>
  <c r="O52" i="3"/>
  <c r="O51" i="3"/>
  <c r="O50" i="3"/>
  <c r="O49" i="3"/>
  <c r="O48" i="3"/>
  <c r="O47" i="3"/>
  <c r="O46" i="3"/>
  <c r="K46" i="3"/>
  <c r="O55" i="3" s="1"/>
  <c r="K45" i="3"/>
  <c r="O44" i="3"/>
  <c r="K44" i="3"/>
  <c r="K37" i="3"/>
  <c r="O36" i="3"/>
  <c r="P36" i="3" s="1"/>
  <c r="K36" i="3"/>
  <c r="O45" i="3" s="1"/>
  <c r="O35" i="3"/>
  <c r="K35" i="3"/>
  <c r="O34" i="3"/>
  <c r="P33" i="3"/>
  <c r="Z11" i="3" s="1"/>
  <c r="O33" i="3"/>
  <c r="O32" i="3"/>
  <c r="O31" i="3"/>
  <c r="P31" i="3" s="1"/>
  <c r="O28" i="3"/>
  <c r="K28" i="3"/>
  <c r="O37" i="3" s="1"/>
  <c r="P27" i="3"/>
  <c r="T11" i="3" s="1"/>
  <c r="O27" i="3"/>
  <c r="K27" i="3"/>
  <c r="O26" i="3"/>
  <c r="P26" i="3" s="1"/>
  <c r="K26" i="3"/>
  <c r="O25" i="3"/>
  <c r="P25" i="3" s="1"/>
  <c r="AA10" i="3" s="1"/>
  <c r="P24" i="3"/>
  <c r="O24" i="3"/>
  <c r="O23" i="3"/>
  <c r="P23" i="3" s="1"/>
  <c r="Y10" i="3" s="1"/>
  <c r="O22" i="3"/>
  <c r="P22" i="3" s="1"/>
  <c r="K22" i="3"/>
  <c r="O21" i="3"/>
  <c r="P21" i="3" s="1"/>
  <c r="W10" i="3" s="1"/>
  <c r="K21" i="3"/>
  <c r="O30" i="3" s="1"/>
  <c r="P30" i="3" s="1"/>
  <c r="O20" i="3"/>
  <c r="P20" i="3" s="1"/>
  <c r="V10" i="3" s="1"/>
  <c r="K20" i="3"/>
  <c r="O29" i="3" s="1"/>
  <c r="O19" i="3"/>
  <c r="P19" i="3" s="1"/>
  <c r="K19" i="3"/>
  <c r="P18" i="3"/>
  <c r="O18" i="3"/>
  <c r="K18" i="3"/>
  <c r="O17" i="3"/>
  <c r="P17" i="3" s="1"/>
  <c r="S10" i="3" s="1"/>
  <c r="K17" i="3"/>
  <c r="Z10" i="3"/>
  <c r="X10" i="3"/>
  <c r="T10" i="3"/>
  <c r="Q192" i="2" l="1"/>
  <c r="Q107" i="2"/>
  <c r="Q146" i="2" s="1"/>
  <c r="Q185" i="2" s="1"/>
  <c r="Q224" i="2" s="1"/>
  <c r="Q263" i="2" s="1"/>
  <c r="Q302" i="2" s="1"/>
  <c r="Q108" i="2"/>
  <c r="Q147" i="2" s="1"/>
  <c r="Q186" i="2" s="1"/>
  <c r="Q225" i="2" s="1"/>
  <c r="Q264" i="2" s="1"/>
  <c r="Q303" i="2" s="1"/>
  <c r="Q120" i="2"/>
  <c r="Q159" i="2" s="1"/>
  <c r="Q198" i="2" s="1"/>
  <c r="Q237" i="2" s="1"/>
  <c r="Q276" i="2" s="1"/>
  <c r="Q315" i="2" s="1"/>
  <c r="Q109" i="2"/>
  <c r="Q148" i="2" s="1"/>
  <c r="Q187" i="2" s="1"/>
  <c r="Q226" i="2" s="1"/>
  <c r="Q265" i="2" s="1"/>
  <c r="Q304" i="2" s="1"/>
  <c r="Q173" i="2"/>
  <c r="Q212" i="2" s="1"/>
  <c r="Q251" i="2" s="1"/>
  <c r="Q290" i="2" s="1"/>
  <c r="Q119" i="2"/>
  <c r="Q158" i="2" s="1"/>
  <c r="Q96" i="2"/>
  <c r="Q135" i="2" s="1"/>
  <c r="Q227" i="2"/>
  <c r="Q266" i="2" s="1"/>
  <c r="Q305" i="2" s="1"/>
  <c r="Q174" i="2"/>
  <c r="Q213" i="2" s="1"/>
  <c r="Q252" i="2" s="1"/>
  <c r="Q291" i="2" s="1"/>
  <c r="Q101" i="2"/>
  <c r="Q140" i="2" s="1"/>
  <c r="Q179" i="2" s="1"/>
  <c r="Q218" i="2" s="1"/>
  <c r="Q257" i="2" s="1"/>
  <c r="Q296" i="2" s="1"/>
  <c r="Q102" i="2"/>
  <c r="Q141" i="2" s="1"/>
  <c r="Q98" i="2"/>
  <c r="Q92" i="2"/>
  <c r="Q169" i="2"/>
  <c r="Q208" i="2" s="1"/>
  <c r="Q137" i="2"/>
  <c r="Q176" i="2" s="1"/>
  <c r="Q215" i="2" s="1"/>
  <c r="Q254" i="2" s="1"/>
  <c r="Q293" i="2" s="1"/>
  <c r="Q104" i="2"/>
  <c r="Q143" i="2" s="1"/>
  <c r="Q182" i="2" s="1"/>
  <c r="Q221" i="2" s="1"/>
  <c r="Q260" i="2" s="1"/>
  <c r="Q299" i="2" s="1"/>
  <c r="Q122" i="2"/>
  <c r="Q161" i="2" s="1"/>
  <c r="Q200" i="2" s="1"/>
  <c r="Q239" i="2" s="1"/>
  <c r="Q278" i="2" s="1"/>
  <c r="Q317" i="2" s="1"/>
  <c r="Q206" i="2"/>
  <c r="Q245" i="2" s="1"/>
  <c r="Q284" i="2" s="1"/>
  <c r="Q106" i="2"/>
  <c r="Q145" i="2" s="1"/>
  <c r="Q184" i="2" s="1"/>
  <c r="Q223" i="2" s="1"/>
  <c r="Q262" i="2" s="1"/>
  <c r="Q301" i="2" s="1"/>
  <c r="Q162" i="2"/>
  <c r="Q201" i="2"/>
  <c r="Q240" i="2" s="1"/>
  <c r="Q279" i="2" s="1"/>
  <c r="Q318" i="2" s="1"/>
  <c r="Q232" i="2"/>
  <c r="Q271" i="2" s="1"/>
  <c r="Q310" i="2" s="1"/>
  <c r="Q286" i="2"/>
  <c r="Q105" i="2"/>
  <c r="Q144" i="2" s="1"/>
  <c r="Q183" i="2" s="1"/>
  <c r="Q222" i="2" s="1"/>
  <c r="Q261" i="2" s="1"/>
  <c r="Q300" i="2" s="1"/>
  <c r="Q99" i="2"/>
  <c r="Q138" i="2" s="1"/>
  <c r="Q177" i="2" s="1"/>
  <c r="Q216" i="2" s="1"/>
  <c r="Q255" i="2" s="1"/>
  <c r="Q294" i="2" s="1"/>
  <c r="Q163" i="2"/>
  <c r="Q202" i="2" s="1"/>
  <c r="Q241" i="2" s="1"/>
  <c r="Q280" i="2" s="1"/>
  <c r="Q319" i="2" s="1"/>
  <c r="Q171" i="2"/>
  <c r="Q210" i="2" s="1"/>
  <c r="Q249" i="2" s="1"/>
  <c r="Q288" i="2" s="1"/>
  <c r="Q231" i="2"/>
  <c r="Q270" i="2" s="1"/>
  <c r="Q309" i="2" s="1"/>
  <c r="Q100" i="2"/>
  <c r="Q139" i="2" s="1"/>
  <c r="Q178" i="2" s="1"/>
  <c r="Q217" i="2" s="1"/>
  <c r="Q256" i="2" s="1"/>
  <c r="Q295" i="2" s="1"/>
  <c r="Q118" i="2"/>
  <c r="Q157" i="2" s="1"/>
  <c r="Q196" i="2" s="1"/>
  <c r="Q235" i="2" s="1"/>
  <c r="Q274" i="2" s="1"/>
  <c r="Q313" i="2" s="1"/>
  <c r="Q126" i="2"/>
  <c r="Q172" i="2"/>
  <c r="Q211" i="2" s="1"/>
  <c r="Q250" i="2" s="1"/>
  <c r="Q289" i="2" s="1"/>
  <c r="Q180" i="2"/>
  <c r="Q219" i="2" s="1"/>
  <c r="Q258" i="2" s="1"/>
  <c r="Q297" i="2" s="1"/>
  <c r="Q242" i="2"/>
  <c r="Q247" i="2"/>
  <c r="Q127" i="2"/>
  <c r="Q166" i="2" s="1"/>
  <c r="Q205" i="2" s="1"/>
  <c r="Q244" i="2" s="1"/>
  <c r="Q283" i="2" s="1"/>
  <c r="Q322" i="2" s="1"/>
  <c r="Q155" i="2"/>
  <c r="Q194" i="2" s="1"/>
  <c r="Q233" i="2" s="1"/>
  <c r="Q272" i="2" s="1"/>
  <c r="Q311" i="2" s="1"/>
  <c r="Q181" i="2"/>
  <c r="Q220" i="2" s="1"/>
  <c r="Q259" i="2" s="1"/>
  <c r="Q298" i="2" s="1"/>
  <c r="Q281" i="2"/>
  <c r="Q320" i="2" s="1"/>
  <c r="Q131" i="2"/>
  <c r="Q170" i="2" s="1"/>
  <c r="Q209" i="2" s="1"/>
  <c r="Q248" i="2" s="1"/>
  <c r="Q287" i="2" s="1"/>
  <c r="Q128" i="2"/>
  <c r="Q156" i="2"/>
  <c r="Q195" i="2" s="1"/>
  <c r="Q234" i="2" s="1"/>
  <c r="Q273" i="2" s="1"/>
  <c r="Q312" i="2" s="1"/>
  <c r="Q165" i="2"/>
  <c r="Q204" i="2" s="1"/>
  <c r="Q243" i="2" s="1"/>
  <c r="Q282" i="2" s="1"/>
  <c r="Q321" i="2" s="1"/>
  <c r="Q197" i="2"/>
  <c r="Q236" i="2" s="1"/>
  <c r="Q275" i="2" s="1"/>
  <c r="Q314" i="2" s="1"/>
  <c r="Q132" i="2"/>
  <c r="Q129" i="2"/>
  <c r="Q168" i="2" s="1"/>
  <c r="Q207" i="2" s="1"/>
  <c r="Q246" i="2" s="1"/>
  <c r="Q285" i="2" s="1"/>
  <c r="Q228" i="2"/>
  <c r="Q267" i="2" s="1"/>
  <c r="Q306" i="2" s="1"/>
  <c r="Q121" i="2"/>
  <c r="Q160" i="2" s="1"/>
  <c r="Q199" i="2" s="1"/>
  <c r="Q238" i="2" s="1"/>
  <c r="Q277" i="2" s="1"/>
  <c r="Q316" i="2" s="1"/>
  <c r="Q167" i="2"/>
  <c r="Q175" i="2"/>
  <c r="Q214" i="2" s="1"/>
  <c r="Q253" i="2" s="1"/>
  <c r="Q292" i="2" s="1"/>
  <c r="Q229" i="2"/>
  <c r="Q268" i="2" s="1"/>
  <c r="Q307" i="2" s="1"/>
  <c r="P40" i="3"/>
  <c r="X12" i="3" s="1"/>
  <c r="X11" i="3"/>
  <c r="P28" i="3"/>
  <c r="U11" i="3" s="1"/>
  <c r="U10" i="3"/>
  <c r="P38" i="4"/>
  <c r="V11" i="4"/>
  <c r="S12" i="4"/>
  <c r="P44" i="4"/>
  <c r="S13" i="4" s="1"/>
  <c r="W11" i="3"/>
  <c r="P39" i="3"/>
  <c r="W12" i="3" s="1"/>
  <c r="Q50" i="6"/>
  <c r="Q62" i="6" s="1"/>
  <c r="Q74" i="6" s="1"/>
  <c r="Q86" i="6" s="1"/>
  <c r="Q98" i="6" s="1"/>
  <c r="P35" i="3"/>
  <c r="S12" i="3" s="1"/>
  <c r="S11" i="3"/>
  <c r="P39" i="4"/>
  <c r="W11" i="4"/>
  <c r="P48" i="3"/>
  <c r="P37" i="3"/>
  <c r="T12" i="3"/>
  <c r="P45" i="3"/>
  <c r="T13" i="3" s="1"/>
  <c r="Y11" i="4"/>
  <c r="P41" i="4"/>
  <c r="Q89" i="6"/>
  <c r="U27" i="6"/>
  <c r="U28" i="6"/>
  <c r="Q53" i="6"/>
  <c r="Q65" i="6" s="1"/>
  <c r="Q49" i="6"/>
  <c r="Q50" i="7"/>
  <c r="Q54" i="8"/>
  <c r="T13" i="8"/>
  <c r="Q93" i="8"/>
  <c r="Z14" i="8"/>
  <c r="P31" i="4"/>
  <c r="P53" i="5"/>
  <c r="Q56" i="6"/>
  <c r="Q68" i="6" s="1"/>
  <c r="Q80" i="6" s="1"/>
  <c r="Q92" i="6" s="1"/>
  <c r="Q104" i="6" s="1"/>
  <c r="P37" i="5"/>
  <c r="P44" i="5"/>
  <c r="T7" i="5" s="1"/>
  <c r="Q85" i="7"/>
  <c r="Q97" i="7" s="1"/>
  <c r="Q109" i="7" s="1"/>
  <c r="V12" i="8"/>
  <c r="Q92" i="8"/>
  <c r="Q112" i="8"/>
  <c r="Q133" i="8" s="1"/>
  <c r="O99" i="4"/>
  <c r="M90" i="4"/>
  <c r="P32" i="3"/>
  <c r="Z10" i="4"/>
  <c r="P42" i="4"/>
  <c r="W27" i="6"/>
  <c r="Q58" i="6"/>
  <c r="Q70" i="6" s="1"/>
  <c r="Q82" i="6" s="1"/>
  <c r="Q94" i="6" s="1"/>
  <c r="Q106" i="6" s="1"/>
  <c r="Q77" i="7"/>
  <c r="Z27" i="8"/>
  <c r="W15" i="8"/>
  <c r="Q84" i="6"/>
  <c r="Q96" i="6" s="1"/>
  <c r="Q108" i="6" s="1"/>
  <c r="Q81" i="8"/>
  <c r="Q102" i="8" s="1"/>
  <c r="P33" i="5"/>
  <c r="U5" i="5" s="1"/>
  <c r="Q38" i="6"/>
  <c r="T28" i="6" s="1"/>
  <c r="Q45" i="6"/>
  <c r="Q77" i="6"/>
  <c r="Q39" i="7"/>
  <c r="Q51" i="7" s="1"/>
  <c r="Q63" i="7"/>
  <c r="Q91" i="6"/>
  <c r="Q103" i="6" s="1"/>
  <c r="Q96" i="7"/>
  <c r="Q108" i="7" s="1"/>
  <c r="X38" i="8"/>
  <c r="Q114" i="8"/>
  <c r="Z15" i="8"/>
  <c r="P42" i="3"/>
  <c r="Z12" i="3" s="1"/>
  <c r="P34" i="4"/>
  <c r="P54" i="3"/>
  <c r="T14" i="3" s="1"/>
  <c r="P37" i="4"/>
  <c r="P34" i="5"/>
  <c r="Y27" i="8"/>
  <c r="Y37" i="8"/>
  <c r="Q59" i="8"/>
  <c r="V13" i="8"/>
  <c r="P49" i="3"/>
  <c r="Q65" i="7"/>
  <c r="Q82" i="7"/>
  <c r="Q76" i="8"/>
  <c r="Q97" i="8" s="1"/>
  <c r="Q118" i="8" s="1"/>
  <c r="Q139" i="8" s="1"/>
  <c r="Q160" i="8" s="1"/>
  <c r="P41" i="5"/>
  <c r="V27" i="6"/>
  <c r="Q54" i="6"/>
  <c r="P45" i="4"/>
  <c r="P48" i="5"/>
  <c r="X7" i="5" s="1"/>
  <c r="Q57" i="7"/>
  <c r="Q69" i="7" s="1"/>
  <c r="Q81" i="7" s="1"/>
  <c r="Q93" i="7" s="1"/>
  <c r="Q105" i="7" s="1"/>
  <c r="V27" i="8"/>
  <c r="Q84" i="8"/>
  <c r="Q105" i="8" s="1"/>
  <c r="Q126" i="8" s="1"/>
  <c r="Q147" i="8" s="1"/>
  <c r="Q168" i="8" s="1"/>
  <c r="W14" i="8"/>
  <c r="Q46" i="6"/>
  <c r="Q62" i="7"/>
  <c r="Q74" i="7" s="1"/>
  <c r="Q86" i="7" s="1"/>
  <c r="Q98" i="7" s="1"/>
  <c r="Q80" i="7"/>
  <c r="Q92" i="7" s="1"/>
  <c r="Q104" i="7" s="1"/>
  <c r="Q73" i="8"/>
  <c r="Q94" i="8" s="1"/>
  <c r="Q115" i="8" s="1"/>
  <c r="Q136" i="8" s="1"/>
  <c r="Q157" i="8" s="1"/>
  <c r="Q178" i="8" s="1"/>
  <c r="Q135" i="8"/>
  <c r="Q156" i="8" s="1"/>
  <c r="Q177" i="8" s="1"/>
  <c r="T37" i="9"/>
  <c r="T27" i="9"/>
  <c r="Q89" i="9"/>
  <c r="Q98" i="9"/>
  <c r="P39" i="5"/>
  <c r="Q52" i="7"/>
  <c r="Q64" i="7" s="1"/>
  <c r="Q76" i="7" s="1"/>
  <c r="Q88" i="7" s="1"/>
  <c r="Q100" i="7" s="1"/>
  <c r="Q75" i="7"/>
  <c r="Q87" i="7" s="1"/>
  <c r="Q99" i="7" s="1"/>
  <c r="U12" i="8"/>
  <c r="Q55" i="8"/>
  <c r="T38" i="8" s="1"/>
  <c r="Q68" i="8"/>
  <c r="T14" i="8"/>
  <c r="Q107" i="8"/>
  <c r="Q117" i="9"/>
  <c r="Q47" i="7"/>
  <c r="Q59" i="7" s="1"/>
  <c r="Q71" i="7" s="1"/>
  <c r="Q83" i="7" s="1"/>
  <c r="Q95" i="7" s="1"/>
  <c r="Q107" i="7" s="1"/>
  <c r="Q94" i="7"/>
  <c r="Q106" i="7" s="1"/>
  <c r="U37" i="8"/>
  <c r="V37" i="8"/>
  <c r="Q62" i="8"/>
  <c r="W13" i="8"/>
  <c r="Q69" i="8"/>
  <c r="Q90" i="8" s="1"/>
  <c r="Q111" i="8" s="1"/>
  <c r="Q132" i="8" s="1"/>
  <c r="Q153" i="8" s="1"/>
  <c r="Q75" i="8"/>
  <c r="Q96" i="8" s="1"/>
  <c r="Q117" i="8" s="1"/>
  <c r="Q138" i="8" s="1"/>
  <c r="Q159" i="8" s="1"/>
  <c r="Q123" i="8"/>
  <c r="Q144" i="8" s="1"/>
  <c r="Q165" i="8" s="1"/>
  <c r="U37" i="9"/>
  <c r="X37" i="9"/>
  <c r="Q67" i="9"/>
  <c r="Z37" i="9"/>
  <c r="Z27" i="9"/>
  <c r="Q76" i="6"/>
  <c r="Q88" i="6" s="1"/>
  <c r="Q100" i="6" s="1"/>
  <c r="Q42" i="7"/>
  <c r="Q54" i="7" s="1"/>
  <c r="Q66" i="7" s="1"/>
  <c r="Q78" i="7" s="1"/>
  <c r="Q90" i="7" s="1"/>
  <c r="Q102" i="7" s="1"/>
  <c r="Q70" i="7"/>
  <c r="Q88" i="8"/>
  <c r="Q166" i="8"/>
  <c r="X38" i="9"/>
  <c r="Z39" i="9"/>
  <c r="Q119" i="9"/>
  <c r="Q89" i="7"/>
  <c r="Q101" i="7" s="1"/>
  <c r="Q57" i="8"/>
  <c r="Q89" i="8"/>
  <c r="Q110" i="8" s="1"/>
  <c r="Q109" i="8"/>
  <c r="Q130" i="8" s="1"/>
  <c r="Q151" i="8" s="1"/>
  <c r="Q172" i="8" s="1"/>
  <c r="Q59" i="9"/>
  <c r="Q111" i="9"/>
  <c r="Q71" i="6"/>
  <c r="Q83" i="6" s="1"/>
  <c r="Q95" i="6" s="1"/>
  <c r="Q107" i="6" s="1"/>
  <c r="Q66" i="6"/>
  <c r="Q78" i="6" s="1"/>
  <c r="Q90" i="6" s="1"/>
  <c r="Q102" i="6" s="1"/>
  <c r="U14" i="8"/>
  <c r="Q77" i="8"/>
  <c r="Y15" i="8"/>
  <c r="Y28" i="9"/>
  <c r="Y38" i="9"/>
  <c r="V27" i="9"/>
  <c r="V37" i="9"/>
  <c r="Q140" i="9"/>
  <c r="Q154" i="8"/>
  <c r="Q175" i="8" s="1"/>
  <c r="Q114" i="9"/>
  <c r="Q135" i="9" s="1"/>
  <c r="Q156" i="9" s="1"/>
  <c r="Q177" i="9" s="1"/>
  <c r="Q150" i="9"/>
  <c r="Q171" i="9" s="1"/>
  <c r="P29" i="3"/>
  <c r="P34" i="3"/>
  <c r="Q51" i="6"/>
  <c r="Q101" i="6"/>
  <c r="Q67" i="7"/>
  <c r="Q79" i="7" s="1"/>
  <c r="Q91" i="7" s="1"/>
  <c r="Q103" i="7" s="1"/>
  <c r="X27" i="8"/>
  <c r="Q66" i="8"/>
  <c r="Q87" i="8" s="1"/>
  <c r="Q85" i="8"/>
  <c r="Q106" i="8" s="1"/>
  <c r="Q127" i="8" s="1"/>
  <c r="Q148" i="8" s="1"/>
  <c r="Q169" i="8" s="1"/>
  <c r="W28" i="9"/>
  <c r="W38" i="9"/>
  <c r="Z28" i="9"/>
  <c r="Z38" i="9"/>
  <c r="Q106" i="9"/>
  <c r="Q115" i="9"/>
  <c r="Q136" i="9" s="1"/>
  <c r="Q157" i="9" s="1"/>
  <c r="Q178" i="9" s="1"/>
  <c r="U38" i="9"/>
  <c r="Q97" i="9"/>
  <c r="Q118" i="9" s="1"/>
  <c r="Q139" i="9" s="1"/>
  <c r="Q160" i="9" s="1"/>
  <c r="Q147" i="9"/>
  <c r="Q168" i="9" s="1"/>
  <c r="Q58" i="9"/>
  <c r="Q79" i="9" s="1"/>
  <c r="Q100" i="9" s="1"/>
  <c r="Q121" i="9" s="1"/>
  <c r="Q142" i="9" s="1"/>
  <c r="Q163" i="9" s="1"/>
  <c r="Q93" i="9"/>
  <c r="Z29" i="9" s="1"/>
  <c r="Q53" i="9"/>
  <c r="Q74" i="9" s="1"/>
  <c r="Q87" i="9"/>
  <c r="Q112" i="9"/>
  <c r="Q133" i="9" s="1"/>
  <c r="Q154" i="9" s="1"/>
  <c r="Q175" i="9" s="1"/>
  <c r="U28" i="9"/>
  <c r="Q88" i="9"/>
  <c r="Q109" i="9" s="1"/>
  <c r="Q130" i="9" s="1"/>
  <c r="Q151" i="9" s="1"/>
  <c r="Q172" i="9" s="1"/>
  <c r="Q113" i="9"/>
  <c r="Q134" i="9" s="1"/>
  <c r="Q138" i="9"/>
  <c r="Q159" i="9" s="1"/>
  <c r="T15" i="8"/>
  <c r="X28" i="9"/>
  <c r="Q82" i="9"/>
  <c r="Q107" i="9"/>
  <c r="Q132" i="9"/>
  <c r="Q83" i="9"/>
  <c r="Q108" i="9"/>
  <c r="Q129" i="9" s="1"/>
  <c r="W27" i="8"/>
  <c r="Q79" i="8"/>
  <c r="Q100" i="8" s="1"/>
  <c r="Q121" i="8" s="1"/>
  <c r="Q142" i="8" s="1"/>
  <c r="Q163" i="8" s="1"/>
  <c r="U27" i="9"/>
  <c r="Q102" i="9"/>
  <c r="Q123" i="9" s="1"/>
  <c r="Q144" i="9" s="1"/>
  <c r="Q165" i="9" s="1"/>
  <c r="Q127" i="9"/>
  <c r="Q148" i="9" s="1"/>
  <c r="Q169" i="9" s="1"/>
  <c r="W37" i="8"/>
  <c r="Q74" i="8"/>
  <c r="Q124" i="8"/>
  <c r="Q145" i="8" s="1"/>
  <c r="Q78" i="9"/>
  <c r="U29" i="9" s="1"/>
  <c r="Q103" i="9"/>
  <c r="Q124" i="9" s="1"/>
  <c r="Q145" i="9" s="1"/>
  <c r="Q166" i="9" s="1"/>
  <c r="Q128" i="9"/>
  <c r="Q153" i="9"/>
  <c r="Q174" i="9" s="1"/>
  <c r="Z31" i="9" l="1"/>
  <c r="Z41" i="9"/>
  <c r="Q155" i="9"/>
  <c r="Y40" i="8"/>
  <c r="Q131" i="8"/>
  <c r="Y30" i="8"/>
  <c r="Q174" i="8"/>
  <c r="T39" i="9"/>
  <c r="T29" i="9"/>
  <c r="Q95" i="9"/>
  <c r="Q108" i="8"/>
  <c r="Q129" i="8" s="1"/>
  <c r="Q150" i="8" s="1"/>
  <c r="Q171" i="8" s="1"/>
  <c r="X39" i="8"/>
  <c r="X29" i="8"/>
  <c r="P57" i="5"/>
  <c r="V28" i="9"/>
  <c r="V38" i="9"/>
  <c r="U6" i="5"/>
  <c r="P45" i="5"/>
  <c r="W6" i="5"/>
  <c r="P47" i="5"/>
  <c r="X13" i="3"/>
  <c r="P58" i="3"/>
  <c r="W28" i="6"/>
  <c r="Q57" i="6"/>
  <c r="P41" i="3"/>
  <c r="Y11" i="3"/>
  <c r="Z38" i="8"/>
  <c r="T29" i="6"/>
  <c r="Q63" i="6"/>
  <c r="Q75" i="6" s="1"/>
  <c r="Q87" i="6" s="1"/>
  <c r="Q99" i="6" s="1"/>
  <c r="U29" i="6"/>
  <c r="U38" i="8"/>
  <c r="Q78" i="8"/>
  <c r="Q99" i="8" s="1"/>
  <c r="Q120" i="8" s="1"/>
  <c r="Q141" i="8" s="1"/>
  <c r="Q162" i="8" s="1"/>
  <c r="T39" i="8"/>
  <c r="Q95" i="8"/>
  <c r="T29" i="8"/>
  <c r="U42" i="9"/>
  <c r="U32" i="9"/>
  <c r="U41" i="9"/>
  <c r="U31" i="9"/>
  <c r="X30" i="8"/>
  <c r="Q128" i="8"/>
  <c r="Q99" i="9"/>
  <c r="Q120" i="9" s="1"/>
  <c r="Q141" i="9" s="1"/>
  <c r="Q162" i="9" s="1"/>
  <c r="U39" i="9"/>
  <c r="V5" i="5"/>
  <c r="P40" i="5"/>
  <c r="P51" i="3"/>
  <c r="Z28" i="8"/>
  <c r="P46" i="3"/>
  <c r="U12" i="3"/>
  <c r="U12" i="4"/>
  <c r="P46" i="4"/>
  <c r="W13" i="3"/>
  <c r="P57" i="3"/>
  <c r="X39" i="9"/>
  <c r="X29" i="9"/>
  <c r="Y38" i="8"/>
  <c r="Y28" i="8"/>
  <c r="X28" i="8"/>
  <c r="P53" i="4"/>
  <c r="P48" i="4"/>
  <c r="W12" i="4"/>
  <c r="P63" i="3"/>
  <c r="V28" i="8"/>
  <c r="V38" i="8"/>
  <c r="Q80" i="8"/>
  <c r="X41" i="9"/>
  <c r="X31" i="9"/>
  <c r="W29" i="9"/>
  <c r="Q104" i="9"/>
  <c r="W39" i="9"/>
  <c r="Z40" i="9"/>
  <c r="Z30" i="9"/>
  <c r="T13" i="4"/>
  <c r="P54" i="4"/>
  <c r="Q161" i="9"/>
  <c r="T28" i="8"/>
  <c r="Y12" i="4"/>
  <c r="P50" i="4"/>
  <c r="U30" i="9"/>
  <c r="V29" i="6"/>
  <c r="Z12" i="4"/>
  <c r="P51" i="4"/>
  <c r="P47" i="4"/>
  <c r="V12" i="4"/>
  <c r="P44" i="3"/>
  <c r="V42" i="9"/>
  <c r="T28" i="9"/>
  <c r="T38" i="9"/>
  <c r="Y29" i="8"/>
  <c r="Y39" i="8"/>
  <c r="W38" i="8"/>
  <c r="W28" i="8"/>
  <c r="Q83" i="8"/>
  <c r="P43" i="3"/>
  <c r="AA11" i="3"/>
  <c r="U28" i="8"/>
  <c r="Y29" i="9"/>
  <c r="Y39" i="9"/>
  <c r="Q110" i="9"/>
  <c r="AA11" i="4"/>
  <c r="P43" i="4"/>
  <c r="P43" i="5"/>
  <c r="Y5" i="5"/>
  <c r="T8" i="5"/>
  <c r="P62" i="5"/>
  <c r="P71" i="5" s="1"/>
  <c r="X40" i="9"/>
  <c r="X30" i="9"/>
  <c r="P38" i="3"/>
  <c r="V11" i="3"/>
  <c r="Q149" i="9"/>
  <c r="U29" i="8"/>
  <c r="Q98" i="8"/>
  <c r="U39" i="8"/>
  <c r="Q80" i="9"/>
  <c r="Q61" i="6"/>
  <c r="Q73" i="6" s="1"/>
  <c r="Q85" i="6" s="1"/>
  <c r="Q97" i="6" s="1"/>
  <c r="Q109" i="6" s="1"/>
  <c r="Z29" i="8"/>
  <c r="Z39" i="8"/>
  <c r="Q113" i="8"/>
  <c r="X11" i="4"/>
  <c r="P40" i="4"/>
  <c r="U7" i="5" l="1"/>
  <c r="P54" i="5"/>
  <c r="AA12" i="3"/>
  <c r="P52" i="3"/>
  <c r="U43" i="9"/>
  <c r="U33" i="9"/>
  <c r="V39" i="8"/>
  <c r="V29" i="8"/>
  <c r="Q101" i="8"/>
  <c r="P60" i="3"/>
  <c r="Z13" i="3"/>
  <c r="T14" i="4"/>
  <c r="P63" i="4"/>
  <c r="V6" i="5"/>
  <c r="P46" i="5"/>
  <c r="V13" i="4"/>
  <c r="P56" i="4"/>
  <c r="Y6" i="5"/>
  <c r="P49" i="5"/>
  <c r="U13" i="3"/>
  <c r="P55" i="3"/>
  <c r="U40" i="8"/>
  <c r="U30" i="8"/>
  <c r="Q119" i="8"/>
  <c r="Y12" i="3"/>
  <c r="P50" i="3"/>
  <c r="AA12" i="4"/>
  <c r="P52" i="4"/>
  <c r="T15" i="3"/>
  <c r="P72" i="3"/>
  <c r="W14" i="3"/>
  <c r="P66" i="3"/>
  <c r="T30" i="8"/>
  <c r="T40" i="8"/>
  <c r="Q116" i="8"/>
  <c r="W29" i="6"/>
  <c r="Q69" i="6"/>
  <c r="Q81" i="6" s="1"/>
  <c r="Q93" i="6" s="1"/>
  <c r="Q105" i="6" s="1"/>
  <c r="X8" i="5"/>
  <c r="P66" i="5"/>
  <c r="P75" i="5" s="1"/>
  <c r="Y31" i="8"/>
  <c r="Y41" i="8"/>
  <c r="Q152" i="8"/>
  <c r="P60" i="4"/>
  <c r="Z13" i="4"/>
  <c r="W39" i="8"/>
  <c r="W29" i="8"/>
  <c r="Q104" i="8"/>
  <c r="X14" i="3"/>
  <c r="P67" i="3"/>
  <c r="S13" i="3"/>
  <c r="P53" i="3"/>
  <c r="V39" i="9"/>
  <c r="V29" i="9"/>
  <c r="Q101" i="9"/>
  <c r="X12" i="4"/>
  <c r="P49" i="4"/>
  <c r="X32" i="9"/>
  <c r="X42" i="9"/>
  <c r="Q170" i="9"/>
  <c r="Y40" i="9"/>
  <c r="Y30" i="9"/>
  <c r="Q131" i="9"/>
  <c r="P57" i="4"/>
  <c r="W13" i="4"/>
  <c r="U13" i="4"/>
  <c r="P55" i="4"/>
  <c r="X31" i="8"/>
  <c r="X41" i="8"/>
  <c r="Q149" i="8"/>
  <c r="Z42" i="9"/>
  <c r="Z32" i="9"/>
  <c r="Q176" i="9"/>
  <c r="V12" i="3"/>
  <c r="P47" i="3"/>
  <c r="U40" i="9"/>
  <c r="Z30" i="8"/>
  <c r="Z40" i="8"/>
  <c r="Q134" i="8"/>
  <c r="W40" i="9"/>
  <c r="W30" i="9"/>
  <c r="Q125" i="9"/>
  <c r="S14" i="4"/>
  <c r="P62" i="4"/>
  <c r="P59" i="4"/>
  <c r="Y13" i="4"/>
  <c r="X40" i="8"/>
  <c r="W7" i="5"/>
  <c r="P56" i="5"/>
  <c r="T30" i="9"/>
  <c r="T40" i="9"/>
  <c r="Q116" i="9"/>
  <c r="S15" i="4" l="1"/>
  <c r="P71" i="4"/>
  <c r="T41" i="9"/>
  <c r="T31" i="9"/>
  <c r="Q137" i="9"/>
  <c r="P58" i="5"/>
  <c r="Y7" i="5"/>
  <c r="W14" i="4"/>
  <c r="P66" i="4"/>
  <c r="Y32" i="8"/>
  <c r="Y42" i="8"/>
  <c r="Q173" i="8"/>
  <c r="V40" i="9"/>
  <c r="V30" i="9"/>
  <c r="Q122" i="9"/>
  <c r="W15" i="3"/>
  <c r="P75" i="3"/>
  <c r="W31" i="9"/>
  <c r="W41" i="9"/>
  <c r="Q146" i="9"/>
  <c r="S14" i="3"/>
  <c r="P62" i="3"/>
  <c r="U14" i="3"/>
  <c r="P64" i="3"/>
  <c r="T16" i="3"/>
  <c r="P81" i="3"/>
  <c r="T17" i="3" s="1"/>
  <c r="Z14" i="3"/>
  <c r="P69" i="3"/>
  <c r="X32" i="8"/>
  <c r="Q170" i="8"/>
  <c r="X42" i="8"/>
  <c r="X43" i="9"/>
  <c r="X33" i="9"/>
  <c r="P76" i="3"/>
  <c r="X15" i="3"/>
  <c r="V30" i="8"/>
  <c r="Q122" i="8"/>
  <c r="V40" i="8"/>
  <c r="W8" i="5"/>
  <c r="P65" i="5"/>
  <c r="P74" i="5" s="1"/>
  <c r="Z41" i="8"/>
  <c r="Z31" i="8"/>
  <c r="Q155" i="8"/>
  <c r="P61" i="4"/>
  <c r="AA13" i="4"/>
  <c r="Q125" i="8"/>
  <c r="W30" i="8"/>
  <c r="W40" i="8"/>
  <c r="V14" i="4"/>
  <c r="P65" i="4"/>
  <c r="U14" i="4"/>
  <c r="P64" i="4"/>
  <c r="X13" i="4"/>
  <c r="P58" i="4"/>
  <c r="P59" i="3"/>
  <c r="Y13" i="3"/>
  <c r="T41" i="8"/>
  <c r="Q137" i="8"/>
  <c r="T31" i="8"/>
  <c r="V7" i="5"/>
  <c r="P55" i="5"/>
  <c r="U31" i="8"/>
  <c r="U41" i="8"/>
  <c r="Q140" i="8"/>
  <c r="AA13" i="3"/>
  <c r="P61" i="3"/>
  <c r="Z14" i="4"/>
  <c r="P69" i="4"/>
  <c r="T15" i="4"/>
  <c r="P72" i="4"/>
  <c r="P68" i="4"/>
  <c r="Y14" i="4"/>
  <c r="V13" i="3"/>
  <c r="P56" i="3"/>
  <c r="Y41" i="9"/>
  <c r="Y31" i="9"/>
  <c r="Q152" i="9"/>
  <c r="U8" i="5"/>
  <c r="P63" i="5"/>
  <c r="P72" i="5" s="1"/>
  <c r="Z43" i="9"/>
  <c r="Z33" i="9"/>
  <c r="X43" i="8" l="1"/>
  <c r="X33" i="8"/>
  <c r="W42" i="9"/>
  <c r="W32" i="9"/>
  <c r="Q167" i="9"/>
  <c r="W15" i="4"/>
  <c r="P75" i="4"/>
  <c r="Z15" i="4"/>
  <c r="P78" i="4"/>
  <c r="T42" i="8"/>
  <c r="Q158" i="8"/>
  <c r="T32" i="8"/>
  <c r="P78" i="3"/>
  <c r="Z15" i="3"/>
  <c r="V31" i="8"/>
  <c r="V41" i="8"/>
  <c r="Q143" i="8"/>
  <c r="P84" i="3"/>
  <c r="W17" i="3" s="1"/>
  <c r="W16" i="3"/>
  <c r="Y8" i="5"/>
  <c r="P67" i="5"/>
  <c r="P76" i="5" s="1"/>
  <c r="V41" i="9"/>
  <c r="V31" i="9"/>
  <c r="Q143" i="9"/>
  <c r="T42" i="9"/>
  <c r="T32" i="9"/>
  <c r="Q158" i="9"/>
  <c r="T16" i="4"/>
  <c r="P81" i="4"/>
  <c r="P74" i="4"/>
  <c r="V15" i="4"/>
  <c r="Y42" i="9"/>
  <c r="Y32" i="9"/>
  <c r="Q173" i="9"/>
  <c r="P70" i="3"/>
  <c r="AA14" i="3"/>
  <c r="W31" i="8"/>
  <c r="W41" i="8"/>
  <c r="Q146" i="8"/>
  <c r="V14" i="3"/>
  <c r="P65" i="3"/>
  <c r="U42" i="8"/>
  <c r="Q161" i="8"/>
  <c r="U32" i="8"/>
  <c r="X14" i="4"/>
  <c r="P67" i="4"/>
  <c r="AA14" i="4"/>
  <c r="P70" i="4"/>
  <c r="X16" i="3"/>
  <c r="P85" i="3"/>
  <c r="X17" i="3" s="1"/>
  <c r="U15" i="3"/>
  <c r="P73" i="3"/>
  <c r="Y14" i="3"/>
  <c r="P68" i="3"/>
  <c r="Z32" i="8"/>
  <c r="Z42" i="8"/>
  <c r="Q176" i="8"/>
  <c r="V42" i="8"/>
  <c r="U15" i="4"/>
  <c r="P73" i="4"/>
  <c r="S15" i="3"/>
  <c r="P71" i="3"/>
  <c r="Y43" i="8"/>
  <c r="Y33" i="8"/>
  <c r="S16" i="4"/>
  <c r="P80" i="4"/>
  <c r="Y15" i="4"/>
  <c r="P77" i="4"/>
  <c r="V8" i="5"/>
  <c r="P64" i="5"/>
  <c r="P73" i="5" s="1"/>
  <c r="P82" i="4" l="1"/>
  <c r="U16" i="4"/>
  <c r="Q167" i="8"/>
  <c r="W32" i="8"/>
  <c r="W42" i="8"/>
  <c r="T17" i="4"/>
  <c r="P90" i="4"/>
  <c r="Z16" i="4"/>
  <c r="P87" i="4"/>
  <c r="P79" i="4"/>
  <c r="AA15" i="4"/>
  <c r="V16" i="4"/>
  <c r="P83" i="4"/>
  <c r="Y16" i="4"/>
  <c r="P86" i="4"/>
  <c r="W16" i="4"/>
  <c r="P84" i="4"/>
  <c r="P79" i="3"/>
  <c r="AA15" i="3"/>
  <c r="W43" i="9"/>
  <c r="W33" i="9"/>
  <c r="P77" i="3"/>
  <c r="Y15" i="3"/>
  <c r="Y33" i="9"/>
  <c r="Y43" i="9"/>
  <c r="V32" i="9"/>
  <c r="Q164" i="9"/>
  <c r="Z33" i="8"/>
  <c r="Z43" i="8"/>
  <c r="X15" i="4"/>
  <c r="P76" i="4"/>
  <c r="S17" i="4"/>
  <c r="P89" i="4"/>
  <c r="T33" i="9"/>
  <c r="T43" i="9"/>
  <c r="V32" i="8"/>
  <c r="Q164" i="8"/>
  <c r="U33" i="8"/>
  <c r="U43" i="8"/>
  <c r="P87" i="3"/>
  <c r="Z17" i="3" s="1"/>
  <c r="Z16" i="3"/>
  <c r="S16" i="3"/>
  <c r="P80" i="3"/>
  <c r="S17" i="3" s="1"/>
  <c r="U16" i="3"/>
  <c r="P82" i="3"/>
  <c r="U17" i="3" s="1"/>
  <c r="P74" i="3"/>
  <c r="V15" i="3"/>
  <c r="T43" i="8"/>
  <c r="T33" i="8"/>
  <c r="AA16" i="4" l="1"/>
  <c r="P88" i="4"/>
  <c r="AA16" i="3"/>
  <c r="P88" i="3"/>
  <c r="AA17" i="3" s="1"/>
  <c r="V16" i="3"/>
  <c r="P83" i="3"/>
  <c r="V17" i="3" s="1"/>
  <c r="V43" i="8"/>
  <c r="V33" i="8"/>
  <c r="V43" i="9"/>
  <c r="V33" i="9"/>
  <c r="W17" i="4"/>
  <c r="P93" i="4"/>
  <c r="T18" i="4"/>
  <c r="P99" i="4"/>
  <c r="T19" i="4" s="1"/>
  <c r="Z17" i="4"/>
  <c r="P96" i="4"/>
  <c r="Y17" i="4"/>
  <c r="P95" i="4"/>
  <c r="P92" i="4"/>
  <c r="V17" i="4"/>
  <c r="P86" i="3"/>
  <c r="Y17" i="3" s="1"/>
  <c r="Y16" i="3"/>
  <c r="S18" i="4"/>
  <c r="P98" i="4"/>
  <c r="S19" i="4" s="1"/>
  <c r="W43" i="8"/>
  <c r="W33" i="8"/>
  <c r="P85" i="4"/>
  <c r="X16" i="4"/>
  <c r="U17" i="4"/>
  <c r="P91" i="4"/>
  <c r="P101" i="4" l="1"/>
  <c r="V19" i="4" s="1"/>
  <c r="V18" i="4"/>
  <c r="Z18" i="4"/>
  <c r="P105" i="4"/>
  <c r="Z19" i="4" s="1"/>
  <c r="U18" i="4"/>
  <c r="P100" i="4"/>
  <c r="U19" i="4" s="1"/>
  <c r="Y18" i="4"/>
  <c r="P104" i="4"/>
  <c r="Y19" i="4" s="1"/>
  <c r="P94" i="4"/>
  <c r="X17" i="4"/>
  <c r="W18" i="4"/>
  <c r="P102" i="4"/>
  <c r="W19" i="4" s="1"/>
  <c r="AA17" i="4"/>
  <c r="P97" i="4"/>
  <c r="X18" i="4" l="1"/>
  <c r="P103" i="4"/>
  <c r="X19" i="4" s="1"/>
  <c r="AA18" i="4"/>
  <c r="P106" i="4"/>
  <c r="AA19" i="4" s="1"/>
</calcChain>
</file>

<file path=xl/sharedStrings.xml><?xml version="1.0" encoding="utf-8"?>
<sst xmlns="http://schemas.openxmlformats.org/spreadsheetml/2006/main" count="6459" uniqueCount="142">
  <si>
    <t>Date</t>
  </si>
  <si>
    <t>Days Post-Transduction</t>
  </si>
  <si>
    <t>Days Post-Treatment</t>
  </si>
  <si>
    <t>Selection Agent</t>
  </si>
  <si>
    <t>Drug</t>
  </si>
  <si>
    <t>Concentration (nM)</t>
  </si>
  <si>
    <t>Actual concentration replated (nM)</t>
  </si>
  <si>
    <t>Replicate</t>
  </si>
  <si>
    <t>Plate # /Format</t>
  </si>
  <si>
    <t>Cell Count (millions)</t>
  </si>
  <si>
    <t>Cell Count Replated</t>
  </si>
  <si>
    <t># gDNA cell pellets</t>
  </si>
  <si>
    <t>gDNA pellet cell count (millions)</t>
  </si>
  <si>
    <t>RFP+ %</t>
  </si>
  <si>
    <t>Notes</t>
  </si>
  <si>
    <t>Puromycin (5 ug/mL)</t>
  </si>
  <si>
    <t>NONE</t>
  </si>
  <si>
    <t>N/A</t>
  </si>
  <si>
    <t>10x 6-well plates</t>
  </si>
  <si>
    <t>Puromycin (5 ug/mL) Blasticidin (10 ug/mL)</t>
  </si>
  <si>
    <t>15x 15-cm plates</t>
  </si>
  <si>
    <t xml:space="preserve"> </t>
  </si>
  <si>
    <t>13x 15-cm plates</t>
  </si>
  <si>
    <t>Additional cell pellet taken with remaining cells = ~40-50 MM</t>
  </si>
  <si>
    <t>KI-CDK9d-32</t>
  </si>
  <si>
    <t>1x 15-cm plate</t>
  </si>
  <si>
    <t>Cell counts are based on cell counts at time of plating 24 hours prior. Drug is added to cells at this time-point, after cells adhere.</t>
  </si>
  <si>
    <t>KI-CDK9d-32N</t>
  </si>
  <si>
    <t>KB-0742</t>
  </si>
  <si>
    <t>SY-5609</t>
  </si>
  <si>
    <t>Senexin B</t>
  </si>
  <si>
    <t>SEL120</t>
  </si>
  <si>
    <t>DMSO</t>
  </si>
  <si>
    <t>Media change with fresh drug</t>
  </si>
  <si>
    <t>No pellet taken; replated all cells</t>
  </si>
  <si>
    <t>Initially plated cells in drug on 10/14. Replace with media with no drug on 10/15 morning.</t>
  </si>
  <si>
    <t>Replated in new concentration (4000 nM)</t>
  </si>
  <si>
    <t>Terminated these cells. No growth</t>
  </si>
  <si>
    <t>Terminated this replicate. NO cells</t>
  </si>
  <si>
    <t>No surviving cells</t>
  </si>
  <si>
    <t>6.66x 6-well plates</t>
  </si>
  <si>
    <t>Decreased scale of initial transduction due to limited cell #</t>
  </si>
  <si>
    <t>&gt;90%</t>
  </si>
  <si>
    <t>Media change</t>
  </si>
  <si>
    <t>DECREASED CONCENTRATION TO 500 nM</t>
  </si>
  <si>
    <t>Cells are dead</t>
  </si>
  <si>
    <t>NOTES</t>
  </si>
  <si>
    <t>PDs</t>
  </si>
  <si>
    <t>CPDs</t>
  </si>
  <si>
    <t>2x 15-cm plates</t>
  </si>
  <si>
    <t>~12 MM</t>
  </si>
  <si>
    <t>T=0 from previous screen thawed</t>
  </si>
  <si>
    <t>2x 15-cm plate</t>
  </si>
  <si>
    <t>SEE BELOW</t>
  </si>
  <si>
    <t>Counting cells thawed yesterday and taking t=0 pellet, then replating in drug</t>
  </si>
  <si>
    <t>Days</t>
  </si>
  <si>
    <t>DMSO R1</t>
  </si>
  <si>
    <t>DMSO R2</t>
  </si>
  <si>
    <t>DMSO R3</t>
  </si>
  <si>
    <t>10 nM R1</t>
  </si>
  <si>
    <t>10 nM R2</t>
  </si>
  <si>
    <t>10 nM R3</t>
  </si>
  <si>
    <t>100 nM R1</t>
  </si>
  <si>
    <t>100 nM R2</t>
  </si>
  <si>
    <t>100 nM R3</t>
  </si>
  <si>
    <t>ONLY SPLIT DMSO condition at this time-point</t>
  </si>
  <si>
    <t>Allowing SY-treated cells to grow for longer</t>
  </si>
  <si>
    <t>No cell pellets taken</t>
  </si>
  <si>
    <t>Drug holiday</t>
  </si>
  <si>
    <t>Didn't split treated cells</t>
  </si>
  <si>
    <t>DOSE ESCALATION INITIATED</t>
  </si>
  <si>
    <t>Trying to get cells to grow out; no drug treatment</t>
  </si>
  <si>
    <t>1.5x 6-well plate</t>
  </si>
  <si>
    <t>KB R1</t>
  </si>
  <si>
    <t>KB R2</t>
  </si>
  <si>
    <t>KB R3</t>
  </si>
  <si>
    <t>6x 15-cm plates</t>
  </si>
  <si>
    <t>Cells sorted for BFP+ RFP+ (~40%)</t>
  </si>
  <si>
    <t>t=0 cells frozen down; total cell count = 17.1 MM</t>
  </si>
  <si>
    <t>t=0 cells frozen down; total cell count = 18.0 MM</t>
  </si>
  <si>
    <t>t=0 cells frozen down; total cell count = 17.7 MM</t>
  </si>
  <si>
    <t>t=0 cell pellets</t>
  </si>
  <si>
    <t>Split KB-0742 treatment condition into 2 conditions (one with higher dose of 4 uM)</t>
  </si>
  <si>
    <t>Replaced media with no-drug media; no split.</t>
  </si>
  <si>
    <t>1x 15-cm plates</t>
  </si>
  <si>
    <t>Replated in lower concentration of drug in 2x 15 cm plate</t>
  </si>
  <si>
    <t>Final time-point; multiple pellets taken</t>
  </si>
  <si>
    <t>Replated 100% of cells in media without drug</t>
  </si>
  <si>
    <t>Signs of colonies growing out; will collect if sufficient 1000X representation is achieved</t>
  </si>
  <si>
    <t>Clear outgrowth of these cells; will extract and submit</t>
  </si>
  <si>
    <t>4x 6-well plates</t>
  </si>
  <si>
    <t>≥3000X coverage per replicate</t>
  </si>
  <si>
    <t>Measuring RFP+% with unselected split 3-days post-transduction</t>
  </si>
  <si>
    <t>/Users/samgould/Documents/GitHub/CDK9-mutagenesis/flow_data/2025-4-29 CDK12-13 CBE MOI'</t>
  </si>
  <si>
    <t>10x 15-cm plates</t>
  </si>
  <si>
    <t>8x 15-cm plates</t>
  </si>
  <si>
    <t>Replated at ~8000X representation</t>
  </si>
  <si>
    <t>~90%</t>
  </si>
  <si>
    <t>Plating 5 MM cells/replicate (2.5 MM/plate). 4 conditions (DMSO + 3 drugs). Taking t=0 pellets (≥3 from each) + freezing remaining cells.</t>
  </si>
  <si>
    <t>Froze 4x 1000X cell per replicate (20 MM cells)</t>
  </si>
  <si>
    <t>BSJ-4-116</t>
  </si>
  <si>
    <t>CDK12-IN-2</t>
  </si>
  <si>
    <t>HQ461</t>
  </si>
  <si>
    <t>Averages</t>
  </si>
  <si>
    <t>STDEVs</t>
  </si>
  <si>
    <t>Increased DMSO to match max amount of drug (42 uL)</t>
  </si>
  <si>
    <t>Increased dose</t>
  </si>
  <si>
    <t>Increased dose again</t>
  </si>
  <si>
    <t>REMOVED DRUG</t>
  </si>
  <si>
    <t>Increased dose back to original concentration</t>
  </si>
  <si>
    <t>Took pellet with remaining cells (labeled)</t>
  </si>
  <si>
    <t>1.5 x 6-well plates</t>
  </si>
  <si>
    <t>~24-26%</t>
  </si>
  <si>
    <t>7 x 15 cm plates</t>
  </si>
  <si>
    <t>N/A (~ 54 MM total)</t>
  </si>
  <si>
    <t>7 x15 cm plates</t>
  </si>
  <si>
    <t>75 MM (15MM cells/ mL)</t>
  </si>
  <si>
    <t>~14-15 MM</t>
  </si>
  <si>
    <t>~85-86%</t>
  </si>
  <si>
    <t>Each replicate has 8 cryovials frozen in 1mL freezing media (10% DMSO)</t>
  </si>
  <si>
    <t>75 MM</t>
  </si>
  <si>
    <t>2.5 mL left = 35 MM cells, 4MM cells per vial/ replicate</t>
  </si>
  <si>
    <t>PD (DMSO)</t>
  </si>
  <si>
    <t>Abema</t>
  </si>
  <si>
    <t>Palbo</t>
  </si>
  <si>
    <t>Ribo</t>
  </si>
  <si>
    <t>Tagto</t>
  </si>
  <si>
    <t>Atirmo</t>
  </si>
  <si>
    <t>INX</t>
  </si>
  <si>
    <t>1 x 15 cm plate</t>
  </si>
  <si>
    <t>Abemaciclib</t>
  </si>
  <si>
    <t>Palbociclib</t>
  </si>
  <si>
    <t>Ribociclib</t>
  </si>
  <si>
    <t>Tagtociclib</t>
  </si>
  <si>
    <t>CPD (DMSO)</t>
  </si>
  <si>
    <t>Atirmociclib</t>
  </si>
  <si>
    <t>INX-315</t>
  </si>
  <si>
    <t>2 x 6 well plates</t>
  </si>
  <si>
    <t>~25-29%</t>
  </si>
  <si>
    <t>3 x 6 well plates</t>
  </si>
  <si>
    <t>4 x 6 well plates</t>
  </si>
  <si>
    <t>8 x 15 cm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</si>
</sst>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E0EFF"/>
        <bgColor rgb="FF0E0EFF"/>
      </patternFill>
    </fill>
    <fill>
      <patternFill patternType="solid">
        <fgColor rgb="FF0000FF"/>
        <bgColor rgb="FF0000FF"/>
      </patternFill>
    </fill>
    <fill>
      <patternFill patternType="solid">
        <fgColor rgb="FFB6B6FF"/>
        <bgColor rgb="FFB6B6FF"/>
      </patternFill>
    </fill>
    <fill>
      <patternFill patternType="solid">
        <fgColor rgb="FFDADAFF"/>
        <bgColor rgb="FFDADAFF"/>
      </patternFill>
    </fill>
    <fill>
      <patternFill patternType="solid">
        <fgColor rgb="FFFFFBFB"/>
        <bgColor rgb="FFFFFBFB"/>
      </patternFill>
    </fill>
    <fill>
      <patternFill patternType="solid">
        <fgColor rgb="FFFFD4D4"/>
        <bgColor rgb="FFFFD4D4"/>
      </patternFill>
    </fill>
    <fill>
      <patternFill patternType="solid">
        <fgColor rgb="FFFF8787"/>
        <bgColor rgb="FFFF878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A4C2F3"/>
        <bgColor rgb="FFA4C2F3"/>
      </patternFill>
    </fill>
    <fill>
      <patternFill patternType="solid">
        <fgColor rgb="FFEFA8A2"/>
        <bgColor rgb="FFEFA8A2"/>
      </patternFill>
    </fill>
    <fill>
      <patternFill patternType="solid">
        <fgColor rgb="FFF7D4D1"/>
        <bgColor rgb="FFF7D4D1"/>
      </patternFill>
    </fill>
    <fill>
      <patternFill patternType="solid">
        <fgColor rgb="FFE67C73"/>
        <bgColor rgb="FFE67C73"/>
      </patternFill>
    </fill>
    <fill>
      <patternFill patternType="solid">
        <fgColor rgb="FFFBEAE8"/>
        <bgColor rgb="FFFBEAE8"/>
      </patternFill>
    </fill>
    <fill>
      <patternFill patternType="solid">
        <fgColor rgb="FFBBD1F6"/>
        <bgColor rgb="FFBBD1F6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  <xf numFmtId="0" fontId="2" fillId="3" borderId="0" xfId="0" applyFont="1" applyFill="1" applyAlignment="1">
      <alignment horizontal="right" wrapText="1"/>
    </xf>
    <xf numFmtId="0" fontId="2" fillId="4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2" fillId="6" borderId="0" xfId="0" applyFont="1" applyFill="1" applyAlignment="1">
      <alignment horizontal="right" wrapText="1"/>
    </xf>
    <xf numFmtId="0" fontId="2" fillId="7" borderId="0" xfId="0" applyFont="1" applyFill="1" applyAlignment="1">
      <alignment horizontal="right" wrapText="1"/>
    </xf>
    <xf numFmtId="0" fontId="2" fillId="8" borderId="0" xfId="0" applyFont="1" applyFill="1" applyAlignment="1">
      <alignment horizontal="right" wrapText="1"/>
    </xf>
    <xf numFmtId="0" fontId="2" fillId="9" borderId="0" xfId="0" applyFont="1" applyFill="1" applyAlignment="1">
      <alignment horizontal="right" wrapText="1"/>
    </xf>
    <xf numFmtId="9" fontId="2" fillId="4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1" fillId="0" borderId="0" xfId="0" applyFont="1"/>
    <xf numFmtId="3" fontId="1" fillId="0" borderId="0" xfId="0" applyNumberFormat="1" applyFont="1" applyAlignment="1">
      <alignment wrapText="1"/>
    </xf>
    <xf numFmtId="0" fontId="3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quotePrefix="1" applyFont="1" applyAlignment="1">
      <alignment wrapText="1"/>
    </xf>
    <xf numFmtId="10" fontId="1" fillId="0" borderId="0" xfId="0" applyNumberFormat="1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9" xfId="0" applyNumberFormat="1" applyFont="1" applyBorder="1"/>
    <xf numFmtId="0" fontId="1" fillId="0" borderId="10" xfId="0" applyFont="1" applyBorder="1"/>
    <xf numFmtId="10" fontId="1" fillId="0" borderId="10" xfId="0" applyNumberFormat="1" applyFont="1" applyBorder="1"/>
    <xf numFmtId="0" fontId="1" fillId="0" borderId="10" xfId="0" applyFont="1" applyBorder="1" applyAlignment="1">
      <alignment wrapText="1"/>
    </xf>
    <xf numFmtId="0" fontId="1" fillId="0" borderId="11" xfId="0" applyFont="1" applyBorder="1"/>
    <xf numFmtId="14" fontId="1" fillId="0" borderId="12" xfId="0" applyNumberFormat="1" applyFont="1" applyBorder="1"/>
    <xf numFmtId="0" fontId="1" fillId="0" borderId="13" xfId="0" applyFont="1" applyBorder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" fillId="13" borderId="0" xfId="0" applyFont="1" applyFill="1"/>
    <xf numFmtId="0" fontId="2" fillId="14" borderId="0" xfId="0" applyFont="1" applyFill="1"/>
    <xf numFmtId="0" fontId="2" fillId="15" borderId="0" xfId="0" applyFont="1" applyFill="1"/>
    <xf numFmtId="14" fontId="1" fillId="0" borderId="14" xfId="0" applyNumberFormat="1" applyFont="1" applyBorder="1"/>
    <xf numFmtId="0" fontId="1" fillId="0" borderId="15" xfId="0" applyFont="1" applyBorder="1"/>
    <xf numFmtId="0" fontId="2" fillId="15" borderId="15" xfId="0" applyFont="1" applyFill="1" applyBorder="1"/>
    <xf numFmtId="0" fontId="1" fillId="0" borderId="15" xfId="0" applyFont="1" applyBorder="1" applyAlignment="1">
      <alignment wrapText="1"/>
    </xf>
    <xf numFmtId="0" fontId="1" fillId="0" borderId="16" xfId="0" applyFont="1" applyBorder="1"/>
    <xf numFmtId="0" fontId="3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4" xfId="0" applyFont="1" applyBorder="1"/>
    <xf numFmtId="10" fontId="2" fillId="16" borderId="10" xfId="0" applyNumberFormat="1" applyFont="1" applyFill="1" applyBorder="1" applyAlignment="1">
      <alignment horizontal="right"/>
    </xf>
    <xf numFmtId="10" fontId="2" fillId="16" borderId="0" xfId="0" applyNumberFormat="1" applyFont="1" applyFill="1" applyAlignment="1">
      <alignment horizontal="right"/>
    </xf>
    <xf numFmtId="14" fontId="2" fillId="0" borderId="12" xfId="0" applyNumberFormat="1" applyFont="1" applyBorder="1" applyAlignment="1">
      <alignment horizontal="right"/>
    </xf>
    <xf numFmtId="0" fontId="4" fillId="17" borderId="0" xfId="0" applyFont="1" applyFill="1" applyAlignment="1">
      <alignment horizontal="right"/>
    </xf>
    <xf numFmtId="0" fontId="4" fillId="18" borderId="0" xfId="0" applyFont="1" applyFill="1" applyAlignment="1">
      <alignment horizontal="right"/>
    </xf>
    <xf numFmtId="0" fontId="4" fillId="19" borderId="0" xfId="0" applyFont="1" applyFill="1" applyAlignment="1">
      <alignment horizontal="right"/>
    </xf>
    <xf numFmtId="0" fontId="4" fillId="20" borderId="0" xfId="0" applyFont="1" applyFill="1" applyAlignment="1">
      <alignment horizontal="right"/>
    </xf>
    <xf numFmtId="0" fontId="2" fillId="21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23" borderId="0" xfId="0" applyFont="1" applyFill="1" applyAlignment="1">
      <alignment horizontal="right"/>
    </xf>
    <xf numFmtId="0" fontId="3" fillId="0" borderId="15" xfId="0" applyFont="1" applyBorder="1"/>
  </cellXfs>
  <cellStyles count="1">
    <cellStyle name="Normal" xfId="0" builtinId="0"/>
  </cellStyles>
  <dxfs count="120"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CBE CPDs (SY-5609 screen redo)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'CBE SY-5609'!$S$8</c:f>
              <c:strCache>
                <c:ptCount val="1"/>
                <c:pt idx="0">
                  <c:v>DMSO R1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SY-5609'!$S$9:$S$17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3.3396556874367063</c:v>
                </c:pt>
                <c:pt idx="3">
                  <c:v>5.0740005814437765</c:v>
                </c:pt>
                <c:pt idx="4">
                  <c:v>6.6896598793878486</c:v>
                </c:pt>
                <c:pt idx="5">
                  <c:v>8.2767424758636299</c:v>
                </c:pt>
                <c:pt idx="6">
                  <c:v>9.6461364360919486</c:v>
                </c:pt>
                <c:pt idx="7">
                  <c:v>11.335954081901399</c:v>
                </c:pt>
                <c:pt idx="8">
                  <c:v>13.119745070289492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5-5347-A3FD-A9D7D16FE485}"/>
            </c:ext>
          </c:extLst>
        </c:ser>
        <c:ser>
          <c:idx val="1"/>
          <c:order val="1"/>
          <c:tx>
            <c:strRef>
              <c:f>'CBE SY-5609'!$T$8</c:f>
              <c:strCache>
                <c:ptCount val="1"/>
                <c:pt idx="0">
                  <c:v>DMSO R2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SY-5609'!$T$9:$T$17</c:f>
              <c:numCache>
                <c:formatCode>General</c:formatCode>
                <c:ptCount val="9"/>
                <c:pt idx="0">
                  <c:v>0</c:v>
                </c:pt>
                <c:pt idx="1">
                  <c:v>2.0130561528254467</c:v>
                </c:pt>
                <c:pt idx="2">
                  <c:v>3.4779127735129358</c:v>
                </c:pt>
                <c:pt idx="3">
                  <c:v>5.4219238848640838</c:v>
                </c:pt>
                <c:pt idx="4">
                  <c:v>6.5253325675622049</c:v>
                </c:pt>
                <c:pt idx="5">
                  <c:v>8.2435409154952257</c:v>
                </c:pt>
                <c:pt idx="6">
                  <c:v>9.6593290365604556</c:v>
                </c:pt>
                <c:pt idx="7">
                  <c:v>11.480111091883275</c:v>
                </c:pt>
                <c:pt idx="8">
                  <c:v>12.988500537011241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5-5347-A3FD-A9D7D16FE485}"/>
            </c:ext>
          </c:extLst>
        </c:ser>
        <c:ser>
          <c:idx val="2"/>
          <c:order val="2"/>
          <c:tx>
            <c:strRef>
              <c:f>'CBE SY-5609'!$U$8</c:f>
              <c:strCache>
                <c:ptCount val="1"/>
                <c:pt idx="0">
                  <c:v>DMSO R3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SY-5609'!$U$9:$U$17</c:f>
              <c:numCache>
                <c:formatCode>General</c:formatCode>
                <c:ptCount val="9"/>
                <c:pt idx="0">
                  <c:v>0</c:v>
                </c:pt>
                <c:pt idx="1">
                  <c:v>1.8036027871964966</c:v>
                </c:pt>
                <c:pt idx="2">
                  <c:v>3.5531370548657586</c:v>
                </c:pt>
                <c:pt idx="3">
                  <c:v>5.4089848291565854</c:v>
                </c:pt>
                <c:pt idx="4">
                  <c:v>6.5058627033639791</c:v>
                </c:pt>
                <c:pt idx="5">
                  <c:v>8.3395099740259475</c:v>
                </c:pt>
                <c:pt idx="6">
                  <c:v>9.7642327677699043</c:v>
                </c:pt>
                <c:pt idx="7">
                  <c:v>11.332690064579509</c:v>
                </c:pt>
                <c:pt idx="8">
                  <c:v>12.988500537011245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5-5347-A3FD-A9D7D16FE485}"/>
            </c:ext>
          </c:extLst>
        </c:ser>
        <c:ser>
          <c:idx val="3"/>
          <c:order val="3"/>
          <c:tx>
            <c:strRef>
              <c:f>'CBE SY-5609'!$V$8</c:f>
              <c:strCache>
                <c:ptCount val="1"/>
                <c:pt idx="0">
                  <c:v>10 nM R1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SY-5609'!$V$9:$V$17</c:f>
              <c:numCache>
                <c:formatCode>General</c:formatCode>
                <c:ptCount val="9"/>
                <c:pt idx="0">
                  <c:v>0</c:v>
                </c:pt>
                <c:pt idx="1">
                  <c:v>1.2321025462819031</c:v>
                </c:pt>
                <c:pt idx="2">
                  <c:v>1.0565835283663676</c:v>
                </c:pt>
                <c:pt idx="3">
                  <c:v>1.0565835283663676</c:v>
                </c:pt>
                <c:pt idx="4">
                  <c:v>1.0716378740886572</c:v>
                </c:pt>
                <c:pt idx="5">
                  <c:v>1.0716378740886572</c:v>
                </c:pt>
                <c:pt idx="6">
                  <c:v>1.310340120612151</c:v>
                </c:pt>
                <c:pt idx="7">
                  <c:v>1.310340120612151</c:v>
                </c:pt>
                <c:pt idx="8">
                  <c:v>2.5779506033657835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5-5347-A3FD-A9D7D16FE485}"/>
            </c:ext>
          </c:extLst>
        </c:ser>
        <c:ser>
          <c:idx val="4"/>
          <c:order val="4"/>
          <c:tx>
            <c:strRef>
              <c:f>'CBE SY-5609'!$W$8</c:f>
              <c:strCache>
                <c:ptCount val="1"/>
                <c:pt idx="0">
                  <c:v>10 nM R2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SY-5609'!$W$9:$W$17</c:f>
              <c:numCache>
                <c:formatCode>General</c:formatCode>
                <c:ptCount val="9"/>
                <c:pt idx="0">
                  <c:v>0</c:v>
                </c:pt>
                <c:pt idx="1">
                  <c:v>1.1158807120501397</c:v>
                </c:pt>
                <c:pt idx="2">
                  <c:v>1.0464593110926601</c:v>
                </c:pt>
                <c:pt idx="3">
                  <c:v>1.0464593110926601</c:v>
                </c:pt>
                <c:pt idx="4">
                  <c:v>1.2186402864753405</c:v>
                </c:pt>
                <c:pt idx="5">
                  <c:v>1.2186402864753405</c:v>
                </c:pt>
                <c:pt idx="6">
                  <c:v>1.3187769577607904</c:v>
                </c:pt>
                <c:pt idx="7">
                  <c:v>1.3187769577607904</c:v>
                </c:pt>
                <c:pt idx="8">
                  <c:v>2.2095951468723332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C5-5347-A3FD-A9D7D16FE485}"/>
            </c:ext>
          </c:extLst>
        </c:ser>
        <c:ser>
          <c:idx val="5"/>
          <c:order val="5"/>
          <c:tx>
            <c:strRef>
              <c:f>'CBE SY-5609'!$X$8</c:f>
              <c:strCache>
                <c:ptCount val="1"/>
                <c:pt idx="0">
                  <c:v>10 nM R3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SY-5609'!$X$9:$X$17</c:f>
              <c:numCache>
                <c:formatCode>General</c:formatCode>
                <c:ptCount val="9"/>
                <c:pt idx="0">
                  <c:v>0</c:v>
                </c:pt>
                <c:pt idx="1">
                  <c:v>1.1110313123887441</c:v>
                </c:pt>
                <c:pt idx="2">
                  <c:v>1.0311385118089043</c:v>
                </c:pt>
                <c:pt idx="3">
                  <c:v>1.0311385118089043</c:v>
                </c:pt>
                <c:pt idx="4">
                  <c:v>0.88539687836014402</c:v>
                </c:pt>
                <c:pt idx="5">
                  <c:v>0.88539687836014402</c:v>
                </c:pt>
                <c:pt idx="6">
                  <c:v>1.3561438102252754</c:v>
                </c:pt>
                <c:pt idx="7">
                  <c:v>1.3561438102252754</c:v>
                </c:pt>
                <c:pt idx="8">
                  <c:v>2.3187769577607904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C5-5347-A3FD-A9D7D16FE485}"/>
            </c:ext>
          </c:extLst>
        </c:ser>
        <c:ser>
          <c:idx val="6"/>
          <c:order val="6"/>
          <c:tx>
            <c:strRef>
              <c:f>'CBE SY-5609'!$Y$8</c:f>
              <c:strCache>
                <c:ptCount val="1"/>
                <c:pt idx="0">
                  <c:v>100 nM R1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SY-5609'!$Y$9:$Y$17</c:f>
              <c:numCache>
                <c:formatCode>General</c:formatCode>
                <c:ptCount val="9"/>
                <c:pt idx="0">
                  <c:v>0</c:v>
                </c:pt>
                <c:pt idx="1">
                  <c:v>0.27609055865924026</c:v>
                </c:pt>
                <c:pt idx="2">
                  <c:v>1.0454357637166456E-2</c:v>
                </c:pt>
                <c:pt idx="3">
                  <c:v>1.0454357637166456E-2</c:v>
                </c:pt>
                <c:pt idx="4">
                  <c:v>-0.71097038563326165</c:v>
                </c:pt>
                <c:pt idx="5">
                  <c:v>-0.71097038563326165</c:v>
                </c:pt>
                <c:pt idx="6">
                  <c:v>-0.9535406889073399</c:v>
                </c:pt>
                <c:pt idx="7">
                  <c:v>-0.9535406889073399</c:v>
                </c:pt>
                <c:pt idx="8">
                  <c:v>2.2630344058337939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C5-5347-A3FD-A9D7D16FE485}"/>
            </c:ext>
          </c:extLst>
        </c:ser>
        <c:ser>
          <c:idx val="7"/>
          <c:order val="7"/>
          <c:tx>
            <c:strRef>
              <c:f>'CBE SY-5609'!$Z$8</c:f>
              <c:strCache>
                <c:ptCount val="1"/>
                <c:pt idx="0">
                  <c:v>100 nM R2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SY-5609'!$Z$9:$Z$17</c:f>
              <c:numCache>
                <c:formatCode>General</c:formatCode>
                <c:ptCount val="9"/>
                <c:pt idx="0">
                  <c:v>0</c:v>
                </c:pt>
                <c:pt idx="1">
                  <c:v>0.12071386578608323</c:v>
                </c:pt>
                <c:pt idx="2">
                  <c:v>-2.6472211361190989E-2</c:v>
                </c:pt>
                <c:pt idx="3">
                  <c:v>-2.6472211361190989E-2</c:v>
                </c:pt>
                <c:pt idx="4">
                  <c:v>-1.2206447590501808</c:v>
                </c:pt>
                <c:pt idx="5">
                  <c:v>-1.2206447590501808</c:v>
                </c:pt>
                <c:pt idx="6">
                  <c:v>-1.513823915455925</c:v>
                </c:pt>
                <c:pt idx="7">
                  <c:v>-1.513823915455925</c:v>
                </c:pt>
                <c:pt idx="8">
                  <c:v>1.6178113802951632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C5-5347-A3FD-A9D7D16FE485}"/>
            </c:ext>
          </c:extLst>
        </c:ser>
        <c:ser>
          <c:idx val="8"/>
          <c:order val="8"/>
          <c:tx>
            <c:strRef>
              <c:f>'CBE SY-5609'!$AA$8</c:f>
              <c:strCache>
                <c:ptCount val="1"/>
                <c:pt idx="0">
                  <c:v>100 nM R3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numRef>
              <c:f>'CBE SY-5609'!$R$9:$R$17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</c:numCache>
            </c:numRef>
          </c:cat>
          <c:val>
            <c:numRef>
              <c:f>'CBE SY-5609'!$AA$9:$AA$17</c:f>
              <c:numCache>
                <c:formatCode>General</c:formatCode>
                <c:ptCount val="9"/>
                <c:pt idx="0">
                  <c:v>0</c:v>
                </c:pt>
                <c:pt idx="1">
                  <c:v>0.38856528791765271</c:v>
                </c:pt>
                <c:pt idx="2">
                  <c:v>-5.2557254514951079E-3</c:v>
                </c:pt>
                <c:pt idx="3">
                  <c:v>-5.2557254514951079E-3</c:v>
                </c:pt>
                <c:pt idx="4">
                  <c:v>-0.85536029496843646</c:v>
                </c:pt>
                <c:pt idx="5">
                  <c:v>-0.85536029496843646</c:v>
                </c:pt>
                <c:pt idx="6">
                  <c:v>-1.4915252483471506</c:v>
                </c:pt>
                <c:pt idx="7">
                  <c:v>-1.4915252483471506</c:v>
                </c:pt>
                <c:pt idx="8">
                  <c:v>0.83040284654021157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C5-5347-A3FD-A9D7D16F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920899"/>
        <c:axId val="853614401"/>
      </c:lineChart>
      <c:catAx>
        <c:axId val="1737920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3614401"/>
        <c:crosses val="autoZero"/>
        <c:auto val="1"/>
        <c:lblAlgn val="ctr"/>
        <c:lblOffset val="100"/>
        <c:noMultiLvlLbl val="1"/>
      </c:catAx>
      <c:valAx>
        <c:axId val="853614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79208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ABE CPDs (SY-5609 rerun)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'ABE SY-5609'!$S$8</c:f>
              <c:strCache>
                <c:ptCount val="1"/>
                <c:pt idx="0">
                  <c:v>DMSO R1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SY-5609'!$S$9:$S$19</c:f>
              <c:numCache>
                <c:formatCode>General</c:formatCode>
                <c:ptCount val="11"/>
                <c:pt idx="0">
                  <c:v>0</c:v>
                </c:pt>
                <c:pt idx="1">
                  <c:v>2.0259952085329442</c:v>
                </c:pt>
                <c:pt idx="2">
                  <c:v>3.5901991490873031</c:v>
                </c:pt>
                <c:pt idx="3">
                  <c:v>5.3560359492076266</c:v>
                </c:pt>
                <c:pt idx="4">
                  <c:v>6.4600590137508549</c:v>
                </c:pt>
                <c:pt idx="5">
                  <c:v>8.3537238332456489</c:v>
                </c:pt>
                <c:pt idx="6">
                  <c:v>10.035385253935891</c:v>
                </c:pt>
                <c:pt idx="7">
                  <c:v>11.526560014570199</c:v>
                </c:pt>
                <c:pt idx="8">
                  <c:v>12.90083321768801</c:v>
                </c:pt>
                <c:pt idx="9">
                  <c:v>14.578361837145239</c:v>
                </c:pt>
                <c:pt idx="10">
                  <c:v>16.140319601494902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E-484C-BFBB-74763BFCF972}"/>
            </c:ext>
          </c:extLst>
        </c:ser>
        <c:ser>
          <c:idx val="1"/>
          <c:order val="1"/>
          <c:tx>
            <c:strRef>
              <c:f>'ABE SY-5609'!$T$8</c:f>
              <c:strCache>
                <c:ptCount val="1"/>
                <c:pt idx="0">
                  <c:v>DMSO R2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SY-5609'!$T$9:$T$19</c:f>
              <c:numCache>
                <c:formatCode>General</c:formatCode>
                <c:ptCount val="11"/>
                <c:pt idx="0">
                  <c:v>0</c:v>
                </c:pt>
                <c:pt idx="1">
                  <c:v>2.0388192488905283</c:v>
                </c:pt>
                <c:pt idx="2">
                  <c:v>3.5040425053375888</c:v>
                </c:pt>
                <c:pt idx="3">
                  <c:v>5.1995314635276362</c:v>
                </c:pt>
                <c:pt idx="4">
                  <c:v>6.7504850720838938</c:v>
                </c:pt>
                <c:pt idx="5">
                  <c:v>8.2435409154952257</c:v>
                </c:pt>
                <c:pt idx="6">
                  <c:v>9.8307124633253551</c:v>
                </c:pt>
                <c:pt idx="7">
                  <c:v>11.306308620152878</c:v>
                </c:pt>
                <c:pt idx="8">
                  <c:v>13.19821912831258</c:v>
                </c:pt>
                <c:pt idx="9">
                  <c:v>14.482315149674204</c:v>
                </c:pt>
                <c:pt idx="10">
                  <c:v>16.179534565047653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E-484C-BFBB-74763BFCF972}"/>
            </c:ext>
          </c:extLst>
        </c:ser>
        <c:ser>
          <c:idx val="2"/>
          <c:order val="2"/>
          <c:tx>
            <c:strRef>
              <c:f>'ABE SY-5609'!$U$8</c:f>
              <c:strCache>
                <c:ptCount val="1"/>
                <c:pt idx="0">
                  <c:v>DMSO R3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SY-5609'!$U$9:$U$19</c:f>
              <c:numCache>
                <c:formatCode>General</c:formatCode>
                <c:ptCount val="11"/>
                <c:pt idx="0">
                  <c:v>0</c:v>
                </c:pt>
                <c:pt idx="1">
                  <c:v>2.0890050060587448</c:v>
                </c:pt>
                <c:pt idx="2">
                  <c:v>3.5242460760607699</c:v>
                </c:pt>
                <c:pt idx="3">
                  <c:v>5.2869943047779753</c:v>
                </c:pt>
                <c:pt idx="4">
                  <c:v>6.6896598793878495</c:v>
                </c:pt>
                <c:pt idx="5">
                  <c:v>8.3395099740259475</c:v>
                </c:pt>
                <c:pt idx="6">
                  <c:v>9.9868743807540721</c:v>
                </c:pt>
                <c:pt idx="7">
                  <c:v>11.430590956039476</c:v>
                </c:pt>
                <c:pt idx="8">
                  <c:v>12.962088906180446</c:v>
                </c:pt>
                <c:pt idx="9">
                  <c:v>14.501355192614701</c:v>
                </c:pt>
                <c:pt idx="10">
                  <c:v>16.212994480992979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E-484C-BFBB-74763BFCF972}"/>
            </c:ext>
          </c:extLst>
        </c:ser>
        <c:ser>
          <c:idx val="3"/>
          <c:order val="3"/>
          <c:tx>
            <c:strRef>
              <c:f>'ABE SY-5609'!$V$8</c:f>
              <c:strCache>
                <c:ptCount val="1"/>
                <c:pt idx="0">
                  <c:v>10 nM R1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SY-5609'!$V$9:$V$19</c:f>
              <c:numCache>
                <c:formatCode>General</c:formatCode>
                <c:ptCount val="11"/>
                <c:pt idx="0">
                  <c:v>0</c:v>
                </c:pt>
                <c:pt idx="1">
                  <c:v>1.15410003428063</c:v>
                </c:pt>
                <c:pt idx="2">
                  <c:v>1.0208335034171658</c:v>
                </c:pt>
                <c:pt idx="3">
                  <c:v>1.0208335034171658</c:v>
                </c:pt>
                <c:pt idx="4">
                  <c:v>1.0413704344198604</c:v>
                </c:pt>
                <c:pt idx="5">
                  <c:v>1.0413704344198604</c:v>
                </c:pt>
                <c:pt idx="6">
                  <c:v>0.63817917798912516</c:v>
                </c:pt>
                <c:pt idx="7">
                  <c:v>0.63817917798912516</c:v>
                </c:pt>
                <c:pt idx="8">
                  <c:v>0.2365621944726029</c:v>
                </c:pt>
                <c:pt idx="9">
                  <c:v>0.2365621944726029</c:v>
                </c:pt>
                <c:pt idx="10">
                  <c:v>2.5814608120096039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2E-484C-BFBB-74763BFCF972}"/>
            </c:ext>
          </c:extLst>
        </c:ser>
        <c:ser>
          <c:idx val="4"/>
          <c:order val="4"/>
          <c:tx>
            <c:strRef>
              <c:f>'ABE SY-5609'!$W$8</c:f>
              <c:strCache>
                <c:ptCount val="1"/>
                <c:pt idx="0">
                  <c:v>10 nM R2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SY-5609'!$W$9:$W$19</c:f>
              <c:numCache>
                <c:formatCode>General</c:formatCode>
                <c:ptCount val="11"/>
                <c:pt idx="0">
                  <c:v>0</c:v>
                </c:pt>
                <c:pt idx="1">
                  <c:v>1.1936283984672671</c:v>
                </c:pt>
                <c:pt idx="2">
                  <c:v>1.4854268271702415</c:v>
                </c:pt>
                <c:pt idx="3">
                  <c:v>1.4854268271702415</c:v>
                </c:pt>
                <c:pt idx="4">
                  <c:v>1.2933169727698361</c:v>
                </c:pt>
                <c:pt idx="5">
                  <c:v>1.2933169727698361</c:v>
                </c:pt>
                <c:pt idx="6">
                  <c:v>0.86249647625006465</c:v>
                </c:pt>
                <c:pt idx="7">
                  <c:v>0.86249647625006465</c:v>
                </c:pt>
                <c:pt idx="8">
                  <c:v>0.96817455414460185</c:v>
                </c:pt>
                <c:pt idx="9">
                  <c:v>0.96817455414460185</c:v>
                </c:pt>
                <c:pt idx="10">
                  <c:v>1.6109577092541005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E-484C-BFBB-74763BFCF972}"/>
            </c:ext>
          </c:extLst>
        </c:ser>
        <c:ser>
          <c:idx val="5"/>
          <c:order val="5"/>
          <c:tx>
            <c:strRef>
              <c:f>'ABE SY-5609'!$X$8</c:f>
              <c:strCache>
                <c:ptCount val="1"/>
                <c:pt idx="0">
                  <c:v>10 nM R3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SY-5609'!$X$9:$X$19</c:f>
              <c:numCache>
                <c:formatCode>General</c:formatCode>
                <c:ptCount val="11"/>
                <c:pt idx="0">
                  <c:v>0</c:v>
                </c:pt>
                <c:pt idx="1">
                  <c:v>1.4872992415030124</c:v>
                </c:pt>
                <c:pt idx="2">
                  <c:v>1.3061031277256798</c:v>
                </c:pt>
                <c:pt idx="3">
                  <c:v>1.3061031277256798</c:v>
                </c:pt>
                <c:pt idx="4">
                  <c:v>1.2365621944726028</c:v>
                </c:pt>
                <c:pt idx="5">
                  <c:v>1.2365621944726028</c:v>
                </c:pt>
                <c:pt idx="6">
                  <c:v>0.55492367433977285</c:v>
                </c:pt>
                <c:pt idx="7">
                  <c:v>0.55492367433977285</c:v>
                </c:pt>
                <c:pt idx="8">
                  <c:v>5.658352836636743E-2</c:v>
                </c:pt>
                <c:pt idx="9">
                  <c:v>5.658352836636743E-2</c:v>
                </c:pt>
                <c:pt idx="10">
                  <c:v>0.28902961436673824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2E-484C-BFBB-74763BFCF972}"/>
            </c:ext>
          </c:extLst>
        </c:ser>
        <c:ser>
          <c:idx val="6"/>
          <c:order val="6"/>
          <c:tx>
            <c:strRef>
              <c:f>'ABE SY-5609'!$Y$8</c:f>
              <c:strCache>
                <c:ptCount val="1"/>
                <c:pt idx="0">
                  <c:v>100 nM R1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SY-5609'!$Y$9:$Y$19</c:f>
              <c:numCache>
                <c:formatCode>General</c:formatCode>
                <c:ptCount val="11"/>
                <c:pt idx="0">
                  <c:v>0</c:v>
                </c:pt>
                <c:pt idx="1">
                  <c:v>0.33965568743670627</c:v>
                </c:pt>
                <c:pt idx="2">
                  <c:v>2.5995208532944236E-2</c:v>
                </c:pt>
                <c:pt idx="3">
                  <c:v>2.5995208532944236E-2</c:v>
                </c:pt>
                <c:pt idx="4">
                  <c:v>-0.61143471208234745</c:v>
                </c:pt>
                <c:pt idx="5">
                  <c:v>-0.61143471208234745</c:v>
                </c:pt>
                <c:pt idx="6">
                  <c:v>-1.3890422907458992</c:v>
                </c:pt>
                <c:pt idx="7">
                  <c:v>-1.3890422907458992</c:v>
                </c:pt>
                <c:pt idx="8">
                  <c:v>-0.74573580379393845</c:v>
                </c:pt>
                <c:pt idx="9">
                  <c:v>-0.74573580379393845</c:v>
                </c:pt>
                <c:pt idx="10">
                  <c:v>2.6780719051126374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2E-484C-BFBB-74763BFCF972}"/>
            </c:ext>
          </c:extLst>
        </c:ser>
        <c:ser>
          <c:idx val="7"/>
          <c:order val="7"/>
          <c:tx>
            <c:strRef>
              <c:f>'ABE SY-5609'!$Z$8</c:f>
              <c:strCache>
                <c:ptCount val="1"/>
                <c:pt idx="0">
                  <c:v>100 nM R2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SY-5609'!$Z$9:$Z$19</c:f>
              <c:numCache>
                <c:formatCode>General</c:formatCode>
                <c:ptCount val="11"/>
                <c:pt idx="0">
                  <c:v>0</c:v>
                </c:pt>
                <c:pt idx="1">
                  <c:v>5.236648366147136E-3</c:v>
                </c:pt>
                <c:pt idx="2">
                  <c:v>-0.3821886197048367</c:v>
                </c:pt>
                <c:pt idx="3">
                  <c:v>-0.3821886197048367</c:v>
                </c:pt>
                <c:pt idx="4">
                  <c:v>-0.9333628069697093</c:v>
                </c:pt>
                <c:pt idx="5">
                  <c:v>-0.9333628069697093</c:v>
                </c:pt>
                <c:pt idx="6">
                  <c:v>-1.6114347120823469</c:v>
                </c:pt>
                <c:pt idx="7">
                  <c:v>-1.6114347120823469</c:v>
                </c:pt>
                <c:pt idx="8">
                  <c:v>-1.2703977942472799</c:v>
                </c:pt>
                <c:pt idx="9">
                  <c:v>-1.2703977942472799</c:v>
                </c:pt>
                <c:pt idx="10">
                  <c:v>1.9601072728764879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2E-484C-BFBB-74763BFCF972}"/>
            </c:ext>
          </c:extLst>
        </c:ser>
        <c:ser>
          <c:idx val="8"/>
          <c:order val="8"/>
          <c:tx>
            <c:strRef>
              <c:f>'ABE SY-5609'!$AA$8</c:f>
              <c:strCache>
                <c:ptCount val="1"/>
                <c:pt idx="0">
                  <c:v>100 nM R3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numRef>
              <c:f>'ABE SY-5609'!$R$9:$R$19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cat>
          <c:val>
            <c:numRef>
              <c:f>'ABE SY-5609'!$AA$9:$AA$19</c:f>
              <c:numCache>
                <c:formatCode>General</c:formatCode>
                <c:ptCount val="11"/>
                <c:pt idx="0">
                  <c:v>0</c:v>
                </c:pt>
                <c:pt idx="1">
                  <c:v>0.80960152781793993</c:v>
                </c:pt>
                <c:pt idx="2">
                  <c:v>0.13033186834768007</c:v>
                </c:pt>
                <c:pt idx="3">
                  <c:v>0.13033186834768007</c:v>
                </c:pt>
                <c:pt idx="4">
                  <c:v>-0.5033749662248943</c:v>
                </c:pt>
                <c:pt idx="5">
                  <c:v>-0.5033749662248943</c:v>
                </c:pt>
                <c:pt idx="6">
                  <c:v>-0.98434673568851461</c:v>
                </c:pt>
                <c:pt idx="7">
                  <c:v>-0.98434673568851461</c:v>
                </c:pt>
                <c:pt idx="8">
                  <c:v>-0.86488306908694301</c:v>
                </c:pt>
                <c:pt idx="9">
                  <c:v>-0.86488306908694301</c:v>
                </c:pt>
                <c:pt idx="10">
                  <c:v>1.9328858041414629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2E-484C-BFBB-74763BFCF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195220"/>
        <c:axId val="1881451022"/>
      </c:lineChart>
      <c:catAx>
        <c:axId val="629195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1451022"/>
        <c:crosses val="autoZero"/>
        <c:auto val="1"/>
        <c:lblAlgn val="ctr"/>
        <c:lblOffset val="100"/>
        <c:noMultiLvlLbl val="1"/>
      </c:catAx>
      <c:valAx>
        <c:axId val="1881451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1952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DMSO R1, DMSO R2, DMSO R3, KB R1, KB R2…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'KB-0742 compound mutants'!$T$2</c:f>
              <c:strCache>
                <c:ptCount val="1"/>
                <c:pt idx="0">
                  <c:v>DMSO R1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mutants'!$T$3:$T$10</c:f>
              <c:numCache>
                <c:formatCode>General</c:formatCode>
                <c:ptCount val="8"/>
                <c:pt idx="0">
                  <c:v>0</c:v>
                </c:pt>
                <c:pt idx="1">
                  <c:v>2.6322682154995132</c:v>
                </c:pt>
                <c:pt idx="2">
                  <c:v>4.1296676843358311</c:v>
                </c:pt>
                <c:pt idx="3">
                  <c:v>6.6490418434294103</c:v>
                </c:pt>
                <c:pt idx="4">
                  <c:v>9.0820012507055168</c:v>
                </c:pt>
                <c:pt idx="5">
                  <c:v>11.163795341869164</c:v>
                </c:pt>
                <c:pt idx="6">
                  <c:v>13.476073266722807</c:v>
                </c:pt>
                <c:pt idx="7">
                  <c:v>15.900099549228905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F-7D4F-8422-7515E2C5BFB3}"/>
            </c:ext>
          </c:extLst>
        </c:ser>
        <c:ser>
          <c:idx val="1"/>
          <c:order val="1"/>
          <c:tx>
            <c:strRef>
              <c:f>'KB-0742 compound mutants'!$U$2</c:f>
              <c:strCache>
                <c:ptCount val="1"/>
                <c:pt idx="0">
                  <c:v>DMSO R2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mutants'!$U$3:$U$10</c:f>
              <c:numCache>
                <c:formatCode>General</c:formatCode>
                <c:ptCount val="8"/>
                <c:pt idx="0">
                  <c:v>0</c:v>
                </c:pt>
                <c:pt idx="1">
                  <c:v>2.4150374992788439</c:v>
                </c:pt>
                <c:pt idx="2">
                  <c:v>4.3155018257279298</c:v>
                </c:pt>
                <c:pt idx="3">
                  <c:v>6.9004643264490859</c:v>
                </c:pt>
                <c:pt idx="4">
                  <c:v>9.4530053494778645</c:v>
                </c:pt>
                <c:pt idx="5">
                  <c:v>11.74578709870571</c:v>
                </c:pt>
                <c:pt idx="6">
                  <c:v>13.883290622455645</c:v>
                </c:pt>
                <c:pt idx="7">
                  <c:v>16.419343522695854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F-7D4F-8422-7515E2C5BFB3}"/>
            </c:ext>
          </c:extLst>
        </c:ser>
        <c:ser>
          <c:idx val="2"/>
          <c:order val="2"/>
          <c:tx>
            <c:strRef>
              <c:f>'KB-0742 compound mutants'!$V$2</c:f>
              <c:strCache>
                <c:ptCount val="1"/>
                <c:pt idx="0">
                  <c:v>DMSO R3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mutants'!$V$3:$V$10</c:f>
              <c:numCache>
                <c:formatCode>General</c:formatCode>
                <c:ptCount val="8"/>
                <c:pt idx="0">
                  <c:v>0</c:v>
                </c:pt>
                <c:pt idx="1">
                  <c:v>2.5769251816557377</c:v>
                </c:pt>
                <c:pt idx="2">
                  <c:v>4.4773895081048236</c:v>
                </c:pt>
                <c:pt idx="3">
                  <c:v>7.0134424083450337</c:v>
                </c:pt>
                <c:pt idx="4">
                  <c:v>9.3919540315987646</c:v>
                </c:pt>
                <c:pt idx="5">
                  <c:v>11.732990949433832</c:v>
                </c:pt>
                <c:pt idx="6">
                  <c:v>13.95538337077028</c:v>
                </c:pt>
                <c:pt idx="7">
                  <c:v>16.466345290047659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F-7D4F-8422-7515E2C5BFB3}"/>
            </c:ext>
          </c:extLst>
        </c:ser>
        <c:ser>
          <c:idx val="3"/>
          <c:order val="3"/>
          <c:tx>
            <c:strRef>
              <c:f>'KB-0742 compound mutants'!$W$2</c:f>
              <c:strCache>
                <c:ptCount val="1"/>
                <c:pt idx="0">
                  <c:v>KB R1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mutants'!$W$3:$W$10</c:f>
              <c:numCache>
                <c:formatCode>General</c:formatCode>
                <c:ptCount val="8"/>
                <c:pt idx="0">
                  <c:v>0</c:v>
                </c:pt>
                <c:pt idx="1">
                  <c:v>1.526068811667588</c:v>
                </c:pt>
                <c:pt idx="2">
                  <c:v>3.5139959793670128</c:v>
                </c:pt>
                <c:pt idx="3">
                  <c:v>4.1708736622105276</c:v>
                </c:pt>
                <c:pt idx="4">
                  <c:v>5.2503940018540538</c:v>
                </c:pt>
                <c:pt idx="5">
                  <c:v>6.3878975256039885</c:v>
                </c:pt>
                <c:pt idx="6">
                  <c:v>7.9919688492728493</c:v>
                </c:pt>
                <c:pt idx="7">
                  <c:v>9.7575035956358267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F-7D4F-8422-7515E2C5BFB3}"/>
            </c:ext>
          </c:extLst>
        </c:ser>
        <c:ser>
          <c:idx val="4"/>
          <c:order val="4"/>
          <c:tx>
            <c:strRef>
              <c:f>'KB-0742 compound mutants'!$X$2</c:f>
              <c:strCache>
                <c:ptCount val="1"/>
                <c:pt idx="0">
                  <c:v>KB R2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mutants'!$X$3:$X$10</c:f>
              <c:numCache>
                <c:formatCode>General</c:formatCode>
                <c:ptCount val="8"/>
                <c:pt idx="0">
                  <c:v>0</c:v>
                </c:pt>
                <c:pt idx="1">
                  <c:v>1.5360529002402097</c:v>
                </c:pt>
                <c:pt idx="2">
                  <c:v>3.6291623046316914</c:v>
                </c:pt>
                <c:pt idx="3">
                  <c:v>4.4059681633296881</c:v>
                </c:pt>
                <c:pt idx="4">
                  <c:v>5.6629787815357115</c:v>
                </c:pt>
                <c:pt idx="5">
                  <c:v>7.0870050640418096</c:v>
                </c:pt>
                <c:pt idx="6">
                  <c:v>8.6047006946843929</c:v>
                </c:pt>
                <c:pt idx="7">
                  <c:v>10.124074853777973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6F-7D4F-8422-7515E2C5BFB3}"/>
            </c:ext>
          </c:extLst>
        </c:ser>
        <c:ser>
          <c:idx val="5"/>
          <c:order val="5"/>
          <c:tx>
            <c:strRef>
              <c:f>'KB-0742 compound mutants'!$Y$2</c:f>
              <c:strCache>
                <c:ptCount val="1"/>
                <c:pt idx="0">
                  <c:v>KB R3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'KB-0742 compound mutants'!$S$3:$S$10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</c:numCache>
            </c:numRef>
          </c:cat>
          <c:val>
            <c:numRef>
              <c:f>'KB-0742 compound mutants'!$Y$3:$Y$10</c:f>
              <c:numCache>
                <c:formatCode>General</c:formatCode>
                <c:ptCount val="8"/>
                <c:pt idx="0">
                  <c:v>0</c:v>
                </c:pt>
                <c:pt idx="1">
                  <c:v>1.6780719051126378</c:v>
                </c:pt>
                <c:pt idx="2">
                  <c:v>3.7019186470670054</c:v>
                </c:pt>
                <c:pt idx="3">
                  <c:v>4.5065229581085751</c:v>
                </c:pt>
                <c:pt idx="4">
                  <c:v>5.6828457307490385</c:v>
                </c:pt>
                <c:pt idx="5">
                  <c:v>7.0978832300278825</c:v>
                </c:pt>
                <c:pt idx="6">
                  <c:v>8.1864771532968703</c:v>
                </c:pt>
                <c:pt idx="7">
                  <c:v>9.9800262758294433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6F-7D4F-8422-7515E2C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648118"/>
        <c:axId val="909014535"/>
      </c:lineChart>
      <c:catAx>
        <c:axId val="646648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9014535"/>
        <c:crosses val="autoZero"/>
        <c:auto val="1"/>
        <c:lblAlgn val="ctr"/>
        <c:lblOffset val="100"/>
        <c:noMultiLvlLbl val="1"/>
      </c:catAx>
      <c:valAx>
        <c:axId val="909014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66481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514350</xdr:colOff>
      <xdr:row>21</xdr:row>
      <xdr:rowOff>66675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323850</xdr:colOff>
      <xdr:row>29</xdr:row>
      <xdr:rowOff>190500</xdr:rowOff>
    </xdr:from>
    <xdr:ext cx="6848475" cy="42386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542925</xdr:colOff>
      <xdr:row>10</xdr:row>
      <xdr:rowOff>342900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opLeftCell="A121" workbookViewId="0">
      <selection activeCell="O62" sqref="O62"/>
    </sheetView>
  </sheetViews>
  <sheetFormatPr baseColWidth="10" defaultColWidth="12.6640625" defaultRowHeight="15.75" customHeight="1" x14ac:dyDescent="0.15"/>
  <cols>
    <col min="1" max="1" width="10.6640625" customWidth="1"/>
    <col min="2" max="2" width="15.5" customWidth="1"/>
    <col min="3" max="3" width="13.1640625" customWidth="1"/>
    <col min="4" max="4" width="17.1640625" customWidth="1"/>
    <col min="5" max="5" width="16.6640625" customWidth="1"/>
    <col min="6" max="6" width="12.33203125" customWidth="1"/>
    <col min="7" max="7" width="11.6640625" customWidth="1"/>
    <col min="8" max="8" width="7.83203125" customWidth="1"/>
    <col min="9" max="9" width="14.83203125" customWidth="1"/>
    <col min="10" max="14" width="10.6640625" customWidth="1"/>
    <col min="15" max="15" width="19.6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</row>
    <row r="2" spans="1:17" ht="15.75" customHeight="1" x14ac:dyDescent="0.15">
      <c r="A2" s="2">
        <v>45565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18</v>
      </c>
      <c r="J2" s="3">
        <v>120</v>
      </c>
      <c r="K2" s="3" t="s">
        <v>17</v>
      </c>
      <c r="L2" s="3" t="s">
        <v>17</v>
      </c>
      <c r="M2" s="3" t="s">
        <v>17</v>
      </c>
      <c r="N2" s="4">
        <v>0.38400000000000001</v>
      </c>
      <c r="O2" s="3"/>
    </row>
    <row r="3" spans="1:17" ht="15.75" customHeight="1" x14ac:dyDescent="0.15">
      <c r="A3" s="2">
        <v>45565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18</v>
      </c>
      <c r="J3" s="3">
        <v>120</v>
      </c>
      <c r="K3" s="3" t="s">
        <v>17</v>
      </c>
      <c r="L3" s="3" t="s">
        <v>17</v>
      </c>
      <c r="M3" s="3" t="s">
        <v>17</v>
      </c>
      <c r="N3" s="4">
        <v>0.35699999999999998</v>
      </c>
      <c r="O3" s="3"/>
    </row>
    <row r="4" spans="1:17" ht="15.75" customHeight="1" x14ac:dyDescent="0.15">
      <c r="A4" s="2">
        <v>45565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18</v>
      </c>
      <c r="J4" s="3">
        <v>120</v>
      </c>
      <c r="K4" s="3" t="s">
        <v>17</v>
      </c>
      <c r="L4" s="3" t="s">
        <v>17</v>
      </c>
      <c r="M4" s="3" t="s">
        <v>17</v>
      </c>
      <c r="N4" s="4">
        <v>0.377</v>
      </c>
      <c r="O4" s="3"/>
    </row>
    <row r="5" spans="1:17" ht="15.75" customHeight="1" x14ac:dyDescent="0.15">
      <c r="A5" s="2">
        <v>45566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20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/>
    </row>
    <row r="6" spans="1:17" ht="15.75" customHeight="1" x14ac:dyDescent="0.15">
      <c r="A6" s="2">
        <v>45566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20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/>
    </row>
    <row r="7" spans="1:17" ht="15.75" customHeight="1" x14ac:dyDescent="0.15">
      <c r="A7" s="2">
        <v>45566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20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/>
    </row>
    <row r="8" spans="1:17" ht="15.75" customHeight="1" x14ac:dyDescent="0.15">
      <c r="A8" s="2">
        <v>45569</v>
      </c>
      <c r="B8" s="3">
        <v>4</v>
      </c>
      <c r="C8" s="3"/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3" t="s">
        <v>20</v>
      </c>
      <c r="J8" s="3">
        <v>189</v>
      </c>
      <c r="K8" s="3">
        <v>70</v>
      </c>
      <c r="L8" s="3">
        <v>1</v>
      </c>
      <c r="M8" s="3">
        <v>120</v>
      </c>
      <c r="N8" s="3" t="s">
        <v>17</v>
      </c>
      <c r="O8" s="3"/>
    </row>
    <row r="9" spans="1:17" ht="15.75" customHeight="1" x14ac:dyDescent="0.15">
      <c r="A9" s="2">
        <v>45569</v>
      </c>
      <c r="B9" s="3">
        <v>4</v>
      </c>
      <c r="C9" s="3"/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3" t="s">
        <v>20</v>
      </c>
      <c r="J9" s="3">
        <v>187</v>
      </c>
      <c r="K9" s="3">
        <v>70</v>
      </c>
      <c r="L9" s="3">
        <v>1</v>
      </c>
      <c r="M9" s="3">
        <v>120</v>
      </c>
      <c r="N9" s="3" t="s">
        <v>17</v>
      </c>
      <c r="O9" s="3" t="s">
        <v>21</v>
      </c>
    </row>
    <row r="10" spans="1:17" ht="15.75" customHeight="1" x14ac:dyDescent="0.15">
      <c r="A10" s="2">
        <v>45569</v>
      </c>
      <c r="B10" s="3">
        <v>4</v>
      </c>
      <c r="C10" s="3"/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3" t="s">
        <v>20</v>
      </c>
      <c r="J10" s="3">
        <v>186.5</v>
      </c>
      <c r="K10" s="3">
        <v>70</v>
      </c>
      <c r="L10" s="3">
        <v>1</v>
      </c>
      <c r="M10" s="3">
        <v>120</v>
      </c>
      <c r="N10" s="3" t="s">
        <v>17</v>
      </c>
      <c r="O10" s="3"/>
    </row>
    <row r="11" spans="1:17" ht="15.75" customHeight="1" x14ac:dyDescent="0.15">
      <c r="A11" s="2">
        <v>45572</v>
      </c>
      <c r="B11" s="3">
        <v>7</v>
      </c>
      <c r="C11" s="3"/>
      <c r="D11" s="3" t="s">
        <v>19</v>
      </c>
      <c r="E11" s="3" t="s">
        <v>16</v>
      </c>
      <c r="F11" s="3" t="s">
        <v>17</v>
      </c>
      <c r="G11" s="3" t="s">
        <v>17</v>
      </c>
      <c r="H11" s="3">
        <v>1</v>
      </c>
      <c r="I11" s="3" t="s">
        <v>22</v>
      </c>
      <c r="J11" s="3">
        <v>118</v>
      </c>
      <c r="K11" s="3">
        <v>36</v>
      </c>
      <c r="L11" s="3">
        <v>4</v>
      </c>
      <c r="M11" s="3">
        <v>3</v>
      </c>
      <c r="N11" s="4">
        <v>0.79800000000000004</v>
      </c>
      <c r="O11" s="3" t="s">
        <v>23</v>
      </c>
    </row>
    <row r="12" spans="1:17" ht="15.75" customHeight="1" x14ac:dyDescent="0.15">
      <c r="A12" s="2">
        <v>45572</v>
      </c>
      <c r="B12" s="3">
        <v>7</v>
      </c>
      <c r="C12" s="3"/>
      <c r="D12" s="3" t="s">
        <v>19</v>
      </c>
      <c r="E12" s="3" t="s">
        <v>16</v>
      </c>
      <c r="F12" s="3" t="s">
        <v>17</v>
      </c>
      <c r="G12" s="3" t="s">
        <v>17</v>
      </c>
      <c r="H12" s="3">
        <v>2</v>
      </c>
      <c r="I12" s="3" t="s">
        <v>22</v>
      </c>
      <c r="J12" s="3">
        <v>124</v>
      </c>
      <c r="K12" s="3">
        <v>36</v>
      </c>
      <c r="L12" s="3">
        <v>4</v>
      </c>
      <c r="M12" s="3">
        <v>3</v>
      </c>
      <c r="N12" s="4">
        <v>0.81899999999999995</v>
      </c>
      <c r="O12" s="3" t="s">
        <v>23</v>
      </c>
    </row>
    <row r="13" spans="1:17" ht="15.75" customHeight="1" x14ac:dyDescent="0.15">
      <c r="A13" s="2">
        <v>45572</v>
      </c>
      <c r="B13" s="3">
        <v>7</v>
      </c>
      <c r="C13" s="3"/>
      <c r="D13" s="3" t="s">
        <v>19</v>
      </c>
      <c r="E13" s="3" t="s">
        <v>16</v>
      </c>
      <c r="F13" s="3" t="s">
        <v>17</v>
      </c>
      <c r="G13" s="3" t="s">
        <v>17</v>
      </c>
      <c r="H13" s="3">
        <v>3</v>
      </c>
      <c r="I13" s="3" t="s">
        <v>22</v>
      </c>
      <c r="J13" s="3">
        <v>114</v>
      </c>
      <c r="K13" s="3">
        <v>36</v>
      </c>
      <c r="L13" s="3">
        <v>4</v>
      </c>
      <c r="M13" s="3">
        <v>3</v>
      </c>
      <c r="N13" s="4">
        <v>0.80500000000000005</v>
      </c>
      <c r="O13" s="3" t="s">
        <v>23</v>
      </c>
    </row>
    <row r="14" spans="1:17" ht="15.75" customHeight="1" x14ac:dyDescent="0.15">
      <c r="A14" s="2">
        <v>45573</v>
      </c>
      <c r="B14" s="3">
        <v>8</v>
      </c>
      <c r="C14" s="3">
        <v>0</v>
      </c>
      <c r="D14" s="3" t="s">
        <v>16</v>
      </c>
      <c r="E14" s="3" t="s">
        <v>24</v>
      </c>
      <c r="F14" s="3">
        <v>100</v>
      </c>
      <c r="G14" s="3">
        <v>100</v>
      </c>
      <c r="H14" s="3">
        <v>1</v>
      </c>
      <c r="I14" s="3" t="s">
        <v>25</v>
      </c>
      <c r="J14" s="3">
        <v>2.75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26</v>
      </c>
      <c r="P14">
        <v>0</v>
      </c>
      <c r="Q14">
        <v>0</v>
      </c>
    </row>
    <row r="15" spans="1:17" ht="15.75" customHeight="1" x14ac:dyDescent="0.15">
      <c r="A15" s="2">
        <v>45573</v>
      </c>
      <c r="B15" s="3">
        <v>8</v>
      </c>
      <c r="C15" s="3">
        <v>0</v>
      </c>
      <c r="D15" s="3" t="s">
        <v>16</v>
      </c>
      <c r="E15" s="3" t="s">
        <v>24</v>
      </c>
      <c r="F15" s="3">
        <v>100</v>
      </c>
      <c r="G15" s="3">
        <v>100</v>
      </c>
      <c r="H15" s="3">
        <v>2</v>
      </c>
      <c r="I15" s="3" t="s">
        <v>25</v>
      </c>
      <c r="J15" s="3">
        <v>2.75</v>
      </c>
      <c r="K15" s="3" t="s">
        <v>17</v>
      </c>
      <c r="L15" s="3" t="s">
        <v>17</v>
      </c>
      <c r="M15" s="3" t="s">
        <v>17</v>
      </c>
      <c r="N15" s="3" t="s">
        <v>17</v>
      </c>
      <c r="O15" s="3"/>
      <c r="P15">
        <v>0</v>
      </c>
      <c r="Q15">
        <v>0</v>
      </c>
    </row>
    <row r="16" spans="1:17" ht="15.75" customHeight="1" x14ac:dyDescent="0.15">
      <c r="A16" s="2">
        <v>45573</v>
      </c>
      <c r="B16" s="3">
        <v>8</v>
      </c>
      <c r="C16" s="3">
        <v>0</v>
      </c>
      <c r="D16" s="3" t="s">
        <v>16</v>
      </c>
      <c r="E16" s="3" t="s">
        <v>24</v>
      </c>
      <c r="F16" s="3">
        <v>100</v>
      </c>
      <c r="G16" s="3">
        <v>100</v>
      </c>
      <c r="H16" s="3">
        <v>3</v>
      </c>
      <c r="I16" s="3" t="s">
        <v>25</v>
      </c>
      <c r="J16" s="3">
        <v>2.75</v>
      </c>
      <c r="K16" s="3" t="s">
        <v>17</v>
      </c>
      <c r="L16" s="3" t="s">
        <v>17</v>
      </c>
      <c r="M16" s="3" t="s">
        <v>17</v>
      </c>
      <c r="N16" s="3" t="s">
        <v>17</v>
      </c>
      <c r="O16" s="3"/>
      <c r="P16">
        <v>0</v>
      </c>
      <c r="Q16">
        <v>0</v>
      </c>
    </row>
    <row r="17" spans="1:17" ht="15.75" customHeight="1" x14ac:dyDescent="0.15">
      <c r="A17" s="2">
        <v>45573</v>
      </c>
      <c r="B17" s="3">
        <v>8</v>
      </c>
      <c r="C17" s="3">
        <v>0</v>
      </c>
      <c r="D17" s="3" t="s">
        <v>16</v>
      </c>
      <c r="E17" s="3" t="s">
        <v>24</v>
      </c>
      <c r="F17" s="3">
        <v>1000</v>
      </c>
      <c r="G17" s="3">
        <v>1000</v>
      </c>
      <c r="H17" s="3">
        <v>1</v>
      </c>
      <c r="I17" s="3" t="s">
        <v>25</v>
      </c>
      <c r="J17" s="3">
        <v>2.75</v>
      </c>
      <c r="K17" s="3" t="s">
        <v>17</v>
      </c>
      <c r="L17" s="3" t="s">
        <v>17</v>
      </c>
      <c r="M17" s="3" t="s">
        <v>17</v>
      </c>
      <c r="N17" s="3" t="s">
        <v>17</v>
      </c>
      <c r="O17" s="3"/>
      <c r="P17">
        <v>0</v>
      </c>
      <c r="Q17">
        <v>0</v>
      </c>
    </row>
    <row r="18" spans="1:17" ht="15.75" customHeight="1" x14ac:dyDescent="0.15">
      <c r="A18" s="2">
        <v>45573</v>
      </c>
      <c r="B18" s="3">
        <v>8</v>
      </c>
      <c r="C18" s="3">
        <v>0</v>
      </c>
      <c r="D18" s="3" t="s">
        <v>16</v>
      </c>
      <c r="E18" s="3" t="s">
        <v>24</v>
      </c>
      <c r="F18" s="3">
        <v>1000</v>
      </c>
      <c r="G18" s="3">
        <v>1000</v>
      </c>
      <c r="H18" s="3">
        <v>2</v>
      </c>
      <c r="I18" s="3" t="s">
        <v>25</v>
      </c>
      <c r="J18" s="3">
        <v>2.75</v>
      </c>
      <c r="K18" s="3" t="s">
        <v>17</v>
      </c>
      <c r="L18" s="3" t="s">
        <v>17</v>
      </c>
      <c r="M18" s="3" t="s">
        <v>17</v>
      </c>
      <c r="N18" s="3" t="s">
        <v>17</v>
      </c>
      <c r="O18" s="3"/>
      <c r="P18">
        <v>0</v>
      </c>
      <c r="Q18">
        <v>0</v>
      </c>
    </row>
    <row r="19" spans="1:17" ht="15.75" customHeight="1" x14ac:dyDescent="0.15">
      <c r="A19" s="2">
        <v>45573</v>
      </c>
      <c r="B19" s="3">
        <v>8</v>
      </c>
      <c r="C19" s="3">
        <v>0</v>
      </c>
      <c r="D19" s="3" t="s">
        <v>16</v>
      </c>
      <c r="E19" s="3" t="s">
        <v>24</v>
      </c>
      <c r="F19" s="3">
        <v>1000</v>
      </c>
      <c r="G19" s="3">
        <v>1000</v>
      </c>
      <c r="H19" s="3">
        <v>3</v>
      </c>
      <c r="I19" s="3" t="s">
        <v>25</v>
      </c>
      <c r="J19" s="3">
        <v>2.75</v>
      </c>
      <c r="K19" s="3" t="s">
        <v>17</v>
      </c>
      <c r="L19" s="3" t="s">
        <v>17</v>
      </c>
      <c r="M19" s="3" t="s">
        <v>17</v>
      </c>
      <c r="N19" s="3" t="s">
        <v>17</v>
      </c>
      <c r="O19" s="3"/>
      <c r="P19">
        <v>0</v>
      </c>
      <c r="Q19">
        <v>0</v>
      </c>
    </row>
    <row r="20" spans="1:17" ht="15.75" customHeight="1" x14ac:dyDescent="0.15">
      <c r="A20" s="2">
        <v>45573</v>
      </c>
      <c r="B20" s="3">
        <v>8</v>
      </c>
      <c r="C20" s="3">
        <v>0</v>
      </c>
      <c r="D20" s="3" t="s">
        <v>16</v>
      </c>
      <c r="E20" s="3" t="s">
        <v>27</v>
      </c>
      <c r="F20" s="3">
        <v>1250</v>
      </c>
      <c r="G20" s="3">
        <v>1250</v>
      </c>
      <c r="H20" s="3">
        <v>1</v>
      </c>
      <c r="I20" s="3" t="s">
        <v>25</v>
      </c>
      <c r="J20" s="3">
        <v>2.75</v>
      </c>
      <c r="K20" s="3" t="s">
        <v>17</v>
      </c>
      <c r="L20" s="3" t="s">
        <v>17</v>
      </c>
      <c r="M20" s="3" t="s">
        <v>17</v>
      </c>
      <c r="N20" s="3" t="s">
        <v>17</v>
      </c>
      <c r="O20" s="3"/>
      <c r="P20">
        <v>0</v>
      </c>
      <c r="Q20">
        <v>0</v>
      </c>
    </row>
    <row r="21" spans="1:17" ht="15.75" customHeight="1" x14ac:dyDescent="0.15">
      <c r="A21" s="2">
        <v>45573</v>
      </c>
      <c r="B21" s="3">
        <v>8</v>
      </c>
      <c r="C21" s="3">
        <v>0</v>
      </c>
      <c r="D21" s="3" t="s">
        <v>16</v>
      </c>
      <c r="E21" s="3" t="s">
        <v>27</v>
      </c>
      <c r="F21" s="3">
        <v>1250</v>
      </c>
      <c r="G21" s="3">
        <v>1250</v>
      </c>
      <c r="H21" s="3">
        <v>2</v>
      </c>
      <c r="I21" s="3" t="s">
        <v>25</v>
      </c>
      <c r="J21" s="3">
        <v>2.75</v>
      </c>
      <c r="K21" s="3" t="s">
        <v>17</v>
      </c>
      <c r="L21" s="3" t="s">
        <v>17</v>
      </c>
      <c r="M21" s="3" t="s">
        <v>17</v>
      </c>
      <c r="N21" s="3" t="s">
        <v>17</v>
      </c>
      <c r="O21" s="3"/>
      <c r="P21">
        <v>0</v>
      </c>
      <c r="Q21">
        <v>0</v>
      </c>
    </row>
    <row r="22" spans="1:17" ht="15.75" customHeight="1" x14ac:dyDescent="0.15">
      <c r="A22" s="2">
        <v>45573</v>
      </c>
      <c r="B22" s="3">
        <v>8</v>
      </c>
      <c r="C22" s="3">
        <v>0</v>
      </c>
      <c r="D22" s="3" t="s">
        <v>16</v>
      </c>
      <c r="E22" s="3" t="s">
        <v>27</v>
      </c>
      <c r="F22" s="3">
        <v>1250</v>
      </c>
      <c r="G22" s="3">
        <v>1250</v>
      </c>
      <c r="H22" s="3">
        <v>3</v>
      </c>
      <c r="I22" s="3" t="s">
        <v>25</v>
      </c>
      <c r="J22" s="3">
        <v>2.75</v>
      </c>
      <c r="K22" s="3" t="s">
        <v>17</v>
      </c>
      <c r="L22" s="3" t="s">
        <v>17</v>
      </c>
      <c r="M22" s="3" t="s">
        <v>17</v>
      </c>
      <c r="N22" s="3" t="s">
        <v>17</v>
      </c>
      <c r="O22" s="3"/>
      <c r="P22">
        <v>0</v>
      </c>
      <c r="Q22">
        <v>0</v>
      </c>
    </row>
    <row r="23" spans="1:17" ht="15.75" customHeight="1" x14ac:dyDescent="0.15">
      <c r="A23" s="2">
        <v>45573</v>
      </c>
      <c r="B23" s="3">
        <v>8</v>
      </c>
      <c r="C23" s="3">
        <v>0</v>
      </c>
      <c r="D23" s="3" t="s">
        <v>16</v>
      </c>
      <c r="E23" s="3" t="s">
        <v>27</v>
      </c>
      <c r="F23" s="3">
        <v>5000</v>
      </c>
      <c r="G23" s="3">
        <v>5000</v>
      </c>
      <c r="H23" s="3">
        <v>1</v>
      </c>
      <c r="I23" s="3" t="s">
        <v>25</v>
      </c>
      <c r="J23" s="3">
        <v>2.75</v>
      </c>
      <c r="K23" s="3" t="s">
        <v>17</v>
      </c>
      <c r="L23" s="3" t="s">
        <v>17</v>
      </c>
      <c r="M23" s="3" t="s">
        <v>17</v>
      </c>
      <c r="N23" s="3" t="s">
        <v>17</v>
      </c>
      <c r="O23" s="3"/>
      <c r="P23">
        <v>0</v>
      </c>
      <c r="Q23">
        <v>0</v>
      </c>
    </row>
    <row r="24" spans="1:17" ht="15.75" customHeight="1" x14ac:dyDescent="0.15">
      <c r="A24" s="2">
        <v>45573</v>
      </c>
      <c r="B24" s="3">
        <v>8</v>
      </c>
      <c r="C24" s="3">
        <v>0</v>
      </c>
      <c r="D24" s="3" t="s">
        <v>16</v>
      </c>
      <c r="E24" s="3" t="s">
        <v>27</v>
      </c>
      <c r="F24" s="3">
        <v>5000</v>
      </c>
      <c r="G24" s="3">
        <v>5000</v>
      </c>
      <c r="H24" s="3">
        <v>2</v>
      </c>
      <c r="I24" s="3" t="s">
        <v>25</v>
      </c>
      <c r="J24" s="3">
        <v>2.75</v>
      </c>
      <c r="K24" s="3" t="s">
        <v>17</v>
      </c>
      <c r="L24" s="3" t="s">
        <v>17</v>
      </c>
      <c r="M24" s="3" t="s">
        <v>17</v>
      </c>
      <c r="N24" s="3" t="s">
        <v>17</v>
      </c>
      <c r="O24" s="3"/>
      <c r="P24">
        <v>0</v>
      </c>
      <c r="Q24">
        <v>0</v>
      </c>
    </row>
    <row r="25" spans="1:17" ht="15.75" customHeight="1" x14ac:dyDescent="0.15">
      <c r="A25" s="2">
        <v>45573</v>
      </c>
      <c r="B25" s="3">
        <v>8</v>
      </c>
      <c r="C25" s="3">
        <v>0</v>
      </c>
      <c r="D25" s="3" t="s">
        <v>16</v>
      </c>
      <c r="E25" s="3" t="s">
        <v>27</v>
      </c>
      <c r="F25" s="3">
        <v>5000</v>
      </c>
      <c r="G25" s="3">
        <v>5000</v>
      </c>
      <c r="H25" s="3">
        <v>3</v>
      </c>
      <c r="I25" s="3" t="s">
        <v>25</v>
      </c>
      <c r="J25" s="3">
        <v>2.75</v>
      </c>
      <c r="K25" s="3" t="s">
        <v>17</v>
      </c>
      <c r="L25" s="3" t="s">
        <v>17</v>
      </c>
      <c r="M25" s="3" t="s">
        <v>17</v>
      </c>
      <c r="N25" s="3" t="s">
        <v>17</v>
      </c>
      <c r="O25" s="3"/>
      <c r="P25">
        <v>0</v>
      </c>
      <c r="Q25">
        <v>0</v>
      </c>
    </row>
    <row r="26" spans="1:17" ht="15.75" customHeight="1" x14ac:dyDescent="0.15">
      <c r="A26" s="2">
        <v>45573</v>
      </c>
      <c r="B26" s="3">
        <v>8</v>
      </c>
      <c r="C26" s="3">
        <v>0</v>
      </c>
      <c r="D26" s="3" t="s">
        <v>16</v>
      </c>
      <c r="E26" s="3" t="s">
        <v>28</v>
      </c>
      <c r="F26" s="3">
        <v>1500</v>
      </c>
      <c r="G26" s="3">
        <v>1500</v>
      </c>
      <c r="H26" s="3">
        <v>1</v>
      </c>
      <c r="I26" s="3" t="s">
        <v>25</v>
      </c>
      <c r="J26" s="3">
        <v>2.75</v>
      </c>
      <c r="K26" s="3" t="s">
        <v>17</v>
      </c>
      <c r="L26" s="3" t="s">
        <v>17</v>
      </c>
      <c r="M26" s="3" t="s">
        <v>17</v>
      </c>
      <c r="N26" s="3" t="s">
        <v>17</v>
      </c>
      <c r="O26" s="3"/>
      <c r="P26">
        <v>0</v>
      </c>
      <c r="Q26">
        <v>0</v>
      </c>
    </row>
    <row r="27" spans="1:17" ht="15.75" customHeight="1" x14ac:dyDescent="0.15">
      <c r="A27" s="2">
        <v>45573</v>
      </c>
      <c r="B27" s="3">
        <v>8</v>
      </c>
      <c r="C27" s="3">
        <v>0</v>
      </c>
      <c r="D27" s="3" t="s">
        <v>16</v>
      </c>
      <c r="E27" s="3" t="s">
        <v>28</v>
      </c>
      <c r="F27" s="3">
        <v>1500</v>
      </c>
      <c r="G27" s="3">
        <v>1500</v>
      </c>
      <c r="H27" s="3">
        <v>2</v>
      </c>
      <c r="I27" s="3" t="s">
        <v>25</v>
      </c>
      <c r="J27" s="3">
        <v>2.75</v>
      </c>
      <c r="K27" s="3" t="s">
        <v>17</v>
      </c>
      <c r="L27" s="3" t="s">
        <v>17</v>
      </c>
      <c r="M27" s="3" t="s">
        <v>17</v>
      </c>
      <c r="N27" s="3" t="s">
        <v>17</v>
      </c>
      <c r="O27" s="3"/>
      <c r="P27">
        <v>0</v>
      </c>
      <c r="Q27">
        <v>0</v>
      </c>
    </row>
    <row r="28" spans="1:17" ht="15.75" customHeight="1" x14ac:dyDescent="0.15">
      <c r="A28" s="2">
        <v>45573</v>
      </c>
      <c r="B28" s="3">
        <v>8</v>
      </c>
      <c r="C28" s="3">
        <v>0</v>
      </c>
      <c r="D28" s="3" t="s">
        <v>16</v>
      </c>
      <c r="E28" s="3" t="s">
        <v>28</v>
      </c>
      <c r="F28" s="3">
        <v>1500</v>
      </c>
      <c r="G28" s="3">
        <v>1500</v>
      </c>
      <c r="H28" s="3">
        <v>3</v>
      </c>
      <c r="I28" s="3" t="s">
        <v>25</v>
      </c>
      <c r="J28" s="3">
        <v>2.75</v>
      </c>
      <c r="K28" s="3" t="s">
        <v>17</v>
      </c>
      <c r="L28" s="3" t="s">
        <v>17</v>
      </c>
      <c r="M28" s="3" t="s">
        <v>17</v>
      </c>
      <c r="N28" s="3" t="s">
        <v>17</v>
      </c>
      <c r="O28" s="3"/>
      <c r="P28">
        <v>0</v>
      </c>
      <c r="Q28">
        <v>0</v>
      </c>
    </row>
    <row r="29" spans="1:17" ht="15.75" customHeight="1" x14ac:dyDescent="0.15">
      <c r="A29" s="2">
        <v>45573</v>
      </c>
      <c r="B29" s="3">
        <v>8</v>
      </c>
      <c r="C29" s="3">
        <v>0</v>
      </c>
      <c r="D29" s="3" t="s">
        <v>16</v>
      </c>
      <c r="E29" s="3" t="s">
        <v>28</v>
      </c>
      <c r="F29" s="3">
        <v>5000</v>
      </c>
      <c r="G29" s="3">
        <v>5000</v>
      </c>
      <c r="H29" s="3">
        <v>1</v>
      </c>
      <c r="I29" s="3" t="s">
        <v>25</v>
      </c>
      <c r="J29" s="3">
        <v>2.75</v>
      </c>
      <c r="K29" s="3" t="s">
        <v>17</v>
      </c>
      <c r="L29" s="3" t="s">
        <v>17</v>
      </c>
      <c r="M29" s="3" t="s">
        <v>17</v>
      </c>
      <c r="N29" s="3" t="s">
        <v>17</v>
      </c>
      <c r="O29" s="3"/>
      <c r="P29">
        <v>0</v>
      </c>
      <c r="Q29">
        <v>0</v>
      </c>
    </row>
    <row r="30" spans="1:17" ht="15.75" customHeight="1" x14ac:dyDescent="0.15">
      <c r="A30" s="2">
        <v>45573</v>
      </c>
      <c r="B30" s="3">
        <v>8</v>
      </c>
      <c r="C30" s="3">
        <v>0</v>
      </c>
      <c r="D30" s="3" t="s">
        <v>16</v>
      </c>
      <c r="E30" s="3" t="s">
        <v>28</v>
      </c>
      <c r="F30" s="3">
        <v>5000</v>
      </c>
      <c r="G30" s="3">
        <v>5000</v>
      </c>
      <c r="H30" s="3">
        <v>2</v>
      </c>
      <c r="I30" s="3" t="s">
        <v>25</v>
      </c>
      <c r="J30" s="3">
        <v>2.75</v>
      </c>
      <c r="K30" s="3" t="s">
        <v>17</v>
      </c>
      <c r="L30" s="3" t="s">
        <v>17</v>
      </c>
      <c r="M30" s="3" t="s">
        <v>17</v>
      </c>
      <c r="N30" s="3" t="s">
        <v>17</v>
      </c>
      <c r="O30" s="3"/>
      <c r="P30">
        <v>0</v>
      </c>
      <c r="Q30">
        <v>0</v>
      </c>
    </row>
    <row r="31" spans="1:17" ht="15.75" customHeight="1" x14ac:dyDescent="0.15">
      <c r="A31" s="2">
        <v>45573</v>
      </c>
      <c r="B31" s="3">
        <v>8</v>
      </c>
      <c r="C31" s="3">
        <v>0</v>
      </c>
      <c r="D31" s="3" t="s">
        <v>16</v>
      </c>
      <c r="E31" s="3" t="s">
        <v>28</v>
      </c>
      <c r="F31" s="3">
        <v>5000</v>
      </c>
      <c r="G31" s="3">
        <v>5000</v>
      </c>
      <c r="H31" s="3">
        <v>3</v>
      </c>
      <c r="I31" s="3" t="s">
        <v>25</v>
      </c>
      <c r="J31" s="3">
        <v>2.75</v>
      </c>
      <c r="K31" s="3" t="s">
        <v>17</v>
      </c>
      <c r="L31" s="3" t="s">
        <v>17</v>
      </c>
      <c r="M31" s="3" t="s">
        <v>17</v>
      </c>
      <c r="N31" s="3" t="s">
        <v>17</v>
      </c>
      <c r="O31" s="3"/>
      <c r="P31">
        <v>0</v>
      </c>
      <c r="Q31">
        <v>0</v>
      </c>
    </row>
    <row r="32" spans="1:17" ht="15.75" customHeight="1" x14ac:dyDescent="0.15">
      <c r="A32" s="2">
        <v>45573</v>
      </c>
      <c r="B32" s="3">
        <v>8</v>
      </c>
      <c r="C32" s="3">
        <v>0</v>
      </c>
      <c r="D32" s="3" t="s">
        <v>16</v>
      </c>
      <c r="E32" s="3" t="s">
        <v>29</v>
      </c>
      <c r="F32" s="3">
        <v>1000</v>
      </c>
      <c r="G32" s="3">
        <v>1000</v>
      </c>
      <c r="H32" s="3">
        <v>1</v>
      </c>
      <c r="I32" s="3" t="s">
        <v>25</v>
      </c>
      <c r="J32" s="3">
        <v>2.75</v>
      </c>
      <c r="K32" s="3" t="s">
        <v>17</v>
      </c>
      <c r="L32" s="3" t="s">
        <v>17</v>
      </c>
      <c r="M32" s="3" t="s">
        <v>17</v>
      </c>
      <c r="N32" s="3" t="s">
        <v>17</v>
      </c>
      <c r="O32" s="3"/>
      <c r="P32">
        <v>0</v>
      </c>
      <c r="Q32">
        <v>0</v>
      </c>
    </row>
    <row r="33" spans="1:17" ht="15.75" customHeight="1" x14ac:dyDescent="0.15">
      <c r="A33" s="2">
        <v>45573</v>
      </c>
      <c r="B33" s="3">
        <v>8</v>
      </c>
      <c r="C33" s="3">
        <v>0</v>
      </c>
      <c r="D33" s="3" t="s">
        <v>16</v>
      </c>
      <c r="E33" s="3" t="s">
        <v>29</v>
      </c>
      <c r="F33" s="3">
        <v>1000</v>
      </c>
      <c r="G33" s="3">
        <v>1000</v>
      </c>
      <c r="H33" s="3">
        <v>2</v>
      </c>
      <c r="I33" s="3" t="s">
        <v>25</v>
      </c>
      <c r="J33" s="3">
        <v>2.75</v>
      </c>
      <c r="K33" s="3" t="s">
        <v>17</v>
      </c>
      <c r="L33" s="3" t="s">
        <v>17</v>
      </c>
      <c r="M33" s="3" t="s">
        <v>17</v>
      </c>
      <c r="N33" s="3" t="s">
        <v>17</v>
      </c>
      <c r="O33" s="3"/>
      <c r="P33">
        <v>0</v>
      </c>
      <c r="Q33">
        <v>0</v>
      </c>
    </row>
    <row r="34" spans="1:17" ht="15.75" customHeight="1" x14ac:dyDescent="0.15">
      <c r="A34" s="2">
        <v>45573</v>
      </c>
      <c r="B34" s="3">
        <v>8</v>
      </c>
      <c r="C34" s="3">
        <v>0</v>
      </c>
      <c r="D34" s="3" t="s">
        <v>16</v>
      </c>
      <c r="E34" s="3" t="s">
        <v>29</v>
      </c>
      <c r="F34" s="3">
        <v>1000</v>
      </c>
      <c r="G34" s="3">
        <v>1000</v>
      </c>
      <c r="H34" s="3">
        <v>3</v>
      </c>
      <c r="I34" s="3" t="s">
        <v>25</v>
      </c>
      <c r="J34" s="3">
        <v>2.75</v>
      </c>
      <c r="K34" s="3" t="s">
        <v>17</v>
      </c>
      <c r="L34" s="3" t="s">
        <v>17</v>
      </c>
      <c r="M34" s="3" t="s">
        <v>17</v>
      </c>
      <c r="N34" s="3" t="s">
        <v>17</v>
      </c>
      <c r="O34" s="3"/>
      <c r="P34">
        <v>0</v>
      </c>
      <c r="Q34">
        <v>0</v>
      </c>
    </row>
    <row r="35" spans="1:17" ht="15.75" customHeight="1" x14ac:dyDescent="0.15">
      <c r="A35" s="2">
        <v>45573</v>
      </c>
      <c r="B35" s="3">
        <v>8</v>
      </c>
      <c r="C35" s="3">
        <v>0</v>
      </c>
      <c r="D35" s="3" t="s">
        <v>16</v>
      </c>
      <c r="E35" s="3" t="s">
        <v>29</v>
      </c>
      <c r="F35" s="3">
        <v>2500</v>
      </c>
      <c r="G35" s="3">
        <v>2500</v>
      </c>
      <c r="H35" s="3">
        <v>1</v>
      </c>
      <c r="I35" s="3" t="s">
        <v>25</v>
      </c>
      <c r="J35" s="3">
        <v>2.75</v>
      </c>
      <c r="K35" s="3" t="s">
        <v>17</v>
      </c>
      <c r="L35" s="3" t="s">
        <v>17</v>
      </c>
      <c r="M35" s="3" t="s">
        <v>17</v>
      </c>
      <c r="N35" s="3" t="s">
        <v>17</v>
      </c>
      <c r="O35" s="3"/>
      <c r="P35">
        <v>0</v>
      </c>
      <c r="Q35">
        <v>0</v>
      </c>
    </row>
    <row r="36" spans="1:17" ht="15.75" customHeight="1" x14ac:dyDescent="0.15">
      <c r="A36" s="2">
        <v>45573</v>
      </c>
      <c r="B36" s="3">
        <v>8</v>
      </c>
      <c r="C36" s="3">
        <v>0</v>
      </c>
      <c r="D36" s="3" t="s">
        <v>16</v>
      </c>
      <c r="E36" s="3" t="s">
        <v>29</v>
      </c>
      <c r="F36" s="3">
        <v>2500</v>
      </c>
      <c r="G36" s="3">
        <v>2500</v>
      </c>
      <c r="H36" s="3">
        <v>2</v>
      </c>
      <c r="I36" s="3" t="s">
        <v>25</v>
      </c>
      <c r="J36" s="3">
        <v>2.75</v>
      </c>
      <c r="K36" s="3" t="s">
        <v>17</v>
      </c>
      <c r="L36" s="3" t="s">
        <v>17</v>
      </c>
      <c r="M36" s="3" t="s">
        <v>17</v>
      </c>
      <c r="N36" s="3" t="s">
        <v>17</v>
      </c>
      <c r="O36" s="3"/>
      <c r="P36">
        <v>0</v>
      </c>
      <c r="Q36">
        <v>0</v>
      </c>
    </row>
    <row r="37" spans="1:17" ht="15.75" customHeight="1" x14ac:dyDescent="0.15">
      <c r="A37" s="2">
        <v>45573</v>
      </c>
      <c r="B37" s="3">
        <v>8</v>
      </c>
      <c r="C37" s="3">
        <v>0</v>
      </c>
      <c r="D37" s="3" t="s">
        <v>16</v>
      </c>
      <c r="E37" s="3" t="s">
        <v>29</v>
      </c>
      <c r="F37" s="3">
        <v>2500</v>
      </c>
      <c r="G37" s="3">
        <v>2500</v>
      </c>
      <c r="H37" s="3">
        <v>3</v>
      </c>
      <c r="I37" s="3" t="s">
        <v>25</v>
      </c>
      <c r="J37" s="3">
        <v>2.75</v>
      </c>
      <c r="K37" s="3" t="s">
        <v>17</v>
      </c>
      <c r="L37" s="3" t="s">
        <v>17</v>
      </c>
      <c r="M37" s="3" t="s">
        <v>17</v>
      </c>
      <c r="N37" s="3" t="s">
        <v>17</v>
      </c>
      <c r="O37" s="3"/>
      <c r="P37">
        <v>0</v>
      </c>
      <c r="Q37">
        <v>0</v>
      </c>
    </row>
    <row r="38" spans="1:17" ht="15.75" customHeight="1" x14ac:dyDescent="0.15">
      <c r="A38" s="2">
        <v>45573</v>
      </c>
      <c r="B38" s="3">
        <v>8</v>
      </c>
      <c r="C38" s="3">
        <v>0</v>
      </c>
      <c r="D38" s="3" t="s">
        <v>16</v>
      </c>
      <c r="E38" s="3" t="s">
        <v>30</v>
      </c>
      <c r="F38" s="3">
        <v>2000</v>
      </c>
      <c r="G38" s="3">
        <v>2000</v>
      </c>
      <c r="H38" s="3">
        <v>1</v>
      </c>
      <c r="I38" s="3" t="s">
        <v>25</v>
      </c>
      <c r="J38" s="3">
        <v>2.75</v>
      </c>
      <c r="K38" s="3" t="s">
        <v>17</v>
      </c>
      <c r="L38" s="3" t="s">
        <v>17</v>
      </c>
      <c r="M38" s="3" t="s">
        <v>17</v>
      </c>
      <c r="N38" s="3" t="s">
        <v>17</v>
      </c>
      <c r="O38" s="3"/>
      <c r="P38">
        <v>0</v>
      </c>
      <c r="Q38">
        <v>0</v>
      </c>
    </row>
    <row r="39" spans="1:17" ht="15.75" customHeight="1" x14ac:dyDescent="0.15">
      <c r="A39" s="2">
        <v>45573</v>
      </c>
      <c r="B39" s="3">
        <v>8</v>
      </c>
      <c r="C39" s="3">
        <v>0</v>
      </c>
      <c r="D39" s="3" t="s">
        <v>16</v>
      </c>
      <c r="E39" s="3" t="s">
        <v>30</v>
      </c>
      <c r="F39" s="3">
        <v>2000</v>
      </c>
      <c r="G39" s="3">
        <v>2000</v>
      </c>
      <c r="H39" s="3">
        <v>2</v>
      </c>
      <c r="I39" s="3" t="s">
        <v>25</v>
      </c>
      <c r="J39" s="3">
        <v>2.75</v>
      </c>
      <c r="K39" s="3" t="s">
        <v>17</v>
      </c>
      <c r="L39" s="3" t="s">
        <v>17</v>
      </c>
      <c r="M39" s="3" t="s">
        <v>17</v>
      </c>
      <c r="N39" s="3" t="s">
        <v>17</v>
      </c>
      <c r="O39" s="3"/>
      <c r="P39">
        <v>0</v>
      </c>
      <c r="Q39">
        <v>0</v>
      </c>
    </row>
    <row r="40" spans="1:17" ht="15.75" customHeight="1" x14ac:dyDescent="0.15">
      <c r="A40" s="2">
        <v>45573</v>
      </c>
      <c r="B40" s="3">
        <v>8</v>
      </c>
      <c r="C40" s="3">
        <v>0</v>
      </c>
      <c r="D40" s="3" t="s">
        <v>16</v>
      </c>
      <c r="E40" s="3" t="s">
        <v>30</v>
      </c>
      <c r="F40" s="3">
        <v>2000</v>
      </c>
      <c r="G40" s="3">
        <v>2000</v>
      </c>
      <c r="H40" s="3">
        <v>3</v>
      </c>
      <c r="I40" s="3" t="s">
        <v>25</v>
      </c>
      <c r="J40" s="3">
        <v>2.75</v>
      </c>
      <c r="K40" s="3" t="s">
        <v>17</v>
      </c>
      <c r="L40" s="3" t="s">
        <v>17</v>
      </c>
      <c r="M40" s="3" t="s">
        <v>17</v>
      </c>
      <c r="N40" s="3" t="s">
        <v>17</v>
      </c>
      <c r="O40" s="3"/>
      <c r="P40">
        <v>0</v>
      </c>
      <c r="Q40">
        <v>0</v>
      </c>
    </row>
    <row r="41" spans="1:17" ht="15.75" customHeight="1" x14ac:dyDescent="0.15">
      <c r="A41" s="2">
        <v>45573</v>
      </c>
      <c r="B41" s="3">
        <v>8</v>
      </c>
      <c r="C41" s="3">
        <v>0</v>
      </c>
      <c r="D41" s="3" t="s">
        <v>16</v>
      </c>
      <c r="E41" s="3" t="s">
        <v>30</v>
      </c>
      <c r="F41" s="3">
        <v>15000</v>
      </c>
      <c r="G41" s="3">
        <v>15000</v>
      </c>
      <c r="H41" s="3">
        <v>1</v>
      </c>
      <c r="I41" s="3" t="s">
        <v>25</v>
      </c>
      <c r="J41" s="3">
        <v>2.75</v>
      </c>
      <c r="K41" s="3" t="s">
        <v>17</v>
      </c>
      <c r="L41" s="3" t="s">
        <v>17</v>
      </c>
      <c r="M41" s="3" t="s">
        <v>17</v>
      </c>
      <c r="N41" s="3" t="s">
        <v>17</v>
      </c>
      <c r="O41" s="3"/>
      <c r="P41">
        <v>0</v>
      </c>
      <c r="Q41">
        <v>0</v>
      </c>
    </row>
    <row r="42" spans="1:17" ht="15.75" customHeight="1" x14ac:dyDescent="0.15">
      <c r="A42" s="2">
        <v>45573</v>
      </c>
      <c r="B42" s="3">
        <v>8</v>
      </c>
      <c r="C42" s="3">
        <v>0</v>
      </c>
      <c r="D42" s="3" t="s">
        <v>16</v>
      </c>
      <c r="E42" s="3" t="s">
        <v>30</v>
      </c>
      <c r="F42" s="3">
        <v>15000</v>
      </c>
      <c r="G42" s="3">
        <v>15000</v>
      </c>
      <c r="H42" s="3">
        <v>2</v>
      </c>
      <c r="I42" s="3" t="s">
        <v>25</v>
      </c>
      <c r="J42" s="3">
        <v>2.75</v>
      </c>
      <c r="K42" s="3" t="s">
        <v>17</v>
      </c>
      <c r="L42" s="3" t="s">
        <v>17</v>
      </c>
      <c r="M42" s="3" t="s">
        <v>17</v>
      </c>
      <c r="N42" s="3" t="s">
        <v>17</v>
      </c>
      <c r="O42" s="3"/>
      <c r="P42">
        <v>0</v>
      </c>
      <c r="Q42">
        <v>0</v>
      </c>
    </row>
    <row r="43" spans="1:17" ht="15.75" customHeight="1" x14ac:dyDescent="0.15">
      <c r="A43" s="2">
        <v>45573</v>
      </c>
      <c r="B43" s="3">
        <v>8</v>
      </c>
      <c r="C43" s="3">
        <v>0</v>
      </c>
      <c r="D43" s="3" t="s">
        <v>16</v>
      </c>
      <c r="E43" s="3" t="s">
        <v>30</v>
      </c>
      <c r="F43" s="3">
        <v>15000</v>
      </c>
      <c r="G43" s="3">
        <v>15000</v>
      </c>
      <c r="H43" s="3">
        <v>3</v>
      </c>
      <c r="I43" s="3" t="s">
        <v>25</v>
      </c>
      <c r="J43" s="3">
        <v>2.75</v>
      </c>
      <c r="K43" s="3" t="s">
        <v>17</v>
      </c>
      <c r="L43" s="3" t="s">
        <v>17</v>
      </c>
      <c r="M43" s="3" t="s">
        <v>17</v>
      </c>
      <c r="N43" s="3" t="s">
        <v>17</v>
      </c>
      <c r="O43" s="3"/>
      <c r="P43">
        <v>0</v>
      </c>
      <c r="Q43">
        <v>0</v>
      </c>
    </row>
    <row r="44" spans="1:17" ht="15.75" customHeight="1" x14ac:dyDescent="0.15">
      <c r="A44" s="2">
        <v>45573</v>
      </c>
      <c r="B44" s="3">
        <v>8</v>
      </c>
      <c r="C44" s="3">
        <v>0</v>
      </c>
      <c r="D44" s="3" t="s">
        <v>16</v>
      </c>
      <c r="E44" s="3" t="s">
        <v>31</v>
      </c>
      <c r="F44" s="3">
        <v>4000</v>
      </c>
      <c r="G44" s="3">
        <v>4000</v>
      </c>
      <c r="H44" s="3">
        <v>1</v>
      </c>
      <c r="I44" s="3" t="s">
        <v>25</v>
      </c>
      <c r="J44" s="3">
        <v>2.75</v>
      </c>
      <c r="K44" s="3" t="s">
        <v>17</v>
      </c>
      <c r="L44" s="3" t="s">
        <v>17</v>
      </c>
      <c r="M44" s="3" t="s">
        <v>17</v>
      </c>
      <c r="N44" s="3" t="s">
        <v>17</v>
      </c>
      <c r="O44" s="3"/>
      <c r="P44">
        <v>0</v>
      </c>
      <c r="Q44">
        <v>0</v>
      </c>
    </row>
    <row r="45" spans="1:17" ht="15.75" customHeight="1" x14ac:dyDescent="0.15">
      <c r="A45" s="2">
        <v>45573</v>
      </c>
      <c r="B45" s="3">
        <v>8</v>
      </c>
      <c r="C45" s="3">
        <v>0</v>
      </c>
      <c r="D45" s="3" t="s">
        <v>16</v>
      </c>
      <c r="E45" s="3" t="s">
        <v>31</v>
      </c>
      <c r="F45" s="3">
        <v>4000</v>
      </c>
      <c r="G45" s="3">
        <v>4000</v>
      </c>
      <c r="H45" s="3">
        <v>2</v>
      </c>
      <c r="I45" s="3" t="s">
        <v>25</v>
      </c>
      <c r="J45" s="3">
        <v>2.75</v>
      </c>
      <c r="K45" s="3" t="s">
        <v>17</v>
      </c>
      <c r="L45" s="3" t="s">
        <v>17</v>
      </c>
      <c r="M45" s="3" t="s">
        <v>17</v>
      </c>
      <c r="N45" s="3" t="s">
        <v>17</v>
      </c>
      <c r="O45" s="3"/>
      <c r="P45">
        <v>0</v>
      </c>
      <c r="Q45">
        <v>0</v>
      </c>
    </row>
    <row r="46" spans="1:17" ht="15.75" customHeight="1" x14ac:dyDescent="0.15">
      <c r="A46" s="2">
        <v>45573</v>
      </c>
      <c r="B46" s="3">
        <v>8</v>
      </c>
      <c r="C46" s="3">
        <v>0</v>
      </c>
      <c r="D46" s="3" t="s">
        <v>16</v>
      </c>
      <c r="E46" s="3" t="s">
        <v>31</v>
      </c>
      <c r="F46" s="3">
        <v>4000</v>
      </c>
      <c r="G46" s="3">
        <v>4000</v>
      </c>
      <c r="H46" s="3">
        <v>3</v>
      </c>
      <c r="I46" s="3" t="s">
        <v>25</v>
      </c>
      <c r="J46" s="3">
        <v>2.75</v>
      </c>
      <c r="K46" s="3" t="s">
        <v>17</v>
      </c>
      <c r="L46" s="3" t="s">
        <v>17</v>
      </c>
      <c r="M46" s="3" t="s">
        <v>17</v>
      </c>
      <c r="N46" s="3" t="s">
        <v>17</v>
      </c>
      <c r="O46" s="3"/>
      <c r="P46">
        <v>0</v>
      </c>
      <c r="Q46">
        <v>0</v>
      </c>
    </row>
    <row r="47" spans="1:17" ht="15.75" customHeight="1" x14ac:dyDescent="0.15">
      <c r="A47" s="2">
        <v>45573</v>
      </c>
      <c r="B47" s="3">
        <v>8</v>
      </c>
      <c r="C47" s="3">
        <v>0</v>
      </c>
      <c r="D47" s="3" t="s">
        <v>16</v>
      </c>
      <c r="E47" s="3" t="s">
        <v>31</v>
      </c>
      <c r="F47" s="3">
        <v>8000</v>
      </c>
      <c r="G47" s="3">
        <v>8000</v>
      </c>
      <c r="H47" s="3">
        <v>1</v>
      </c>
      <c r="I47" s="3" t="s">
        <v>25</v>
      </c>
      <c r="J47" s="3">
        <v>2.75</v>
      </c>
      <c r="K47" s="3" t="s">
        <v>17</v>
      </c>
      <c r="L47" s="3" t="s">
        <v>17</v>
      </c>
      <c r="M47" s="3" t="s">
        <v>17</v>
      </c>
      <c r="N47" s="3" t="s">
        <v>17</v>
      </c>
      <c r="O47" s="3"/>
      <c r="P47">
        <v>0</v>
      </c>
      <c r="Q47">
        <v>0</v>
      </c>
    </row>
    <row r="48" spans="1:17" ht="15.75" customHeight="1" x14ac:dyDescent="0.15">
      <c r="A48" s="2">
        <v>45573</v>
      </c>
      <c r="B48" s="3">
        <v>8</v>
      </c>
      <c r="C48" s="3">
        <v>0</v>
      </c>
      <c r="D48" s="3" t="s">
        <v>16</v>
      </c>
      <c r="E48" s="3" t="s">
        <v>31</v>
      </c>
      <c r="F48" s="3">
        <v>8000</v>
      </c>
      <c r="G48" s="3">
        <v>8000</v>
      </c>
      <c r="H48" s="3">
        <v>2</v>
      </c>
      <c r="I48" s="3" t="s">
        <v>25</v>
      </c>
      <c r="J48" s="3">
        <v>2.75</v>
      </c>
      <c r="K48" s="3" t="s">
        <v>17</v>
      </c>
      <c r="L48" s="3" t="s">
        <v>17</v>
      </c>
      <c r="M48" s="3" t="s">
        <v>17</v>
      </c>
      <c r="N48" s="3" t="s">
        <v>17</v>
      </c>
      <c r="O48" s="3"/>
      <c r="P48">
        <v>0</v>
      </c>
      <c r="Q48">
        <v>0</v>
      </c>
    </row>
    <row r="49" spans="1:17" ht="15.75" customHeight="1" x14ac:dyDescent="0.15">
      <c r="A49" s="2">
        <v>45573</v>
      </c>
      <c r="B49" s="3">
        <v>8</v>
      </c>
      <c r="C49" s="3">
        <v>0</v>
      </c>
      <c r="D49" s="3" t="s">
        <v>16</v>
      </c>
      <c r="E49" s="3" t="s">
        <v>31</v>
      </c>
      <c r="F49" s="3">
        <v>8000</v>
      </c>
      <c r="G49" s="3">
        <v>8000</v>
      </c>
      <c r="H49" s="3">
        <v>3</v>
      </c>
      <c r="I49" s="3" t="s">
        <v>25</v>
      </c>
      <c r="J49" s="3">
        <v>2.75</v>
      </c>
      <c r="K49" s="3" t="s">
        <v>17</v>
      </c>
      <c r="L49" s="3" t="s">
        <v>17</v>
      </c>
      <c r="M49" s="3" t="s">
        <v>17</v>
      </c>
      <c r="N49" s="3" t="s">
        <v>17</v>
      </c>
      <c r="O49" s="3"/>
      <c r="P49">
        <v>0</v>
      </c>
      <c r="Q49">
        <v>0</v>
      </c>
    </row>
    <row r="50" spans="1:17" ht="15.75" customHeight="1" x14ac:dyDescent="0.15">
      <c r="A50" s="2">
        <v>45573</v>
      </c>
      <c r="B50" s="3">
        <v>8</v>
      </c>
      <c r="C50" s="3">
        <v>0</v>
      </c>
      <c r="D50" s="3" t="s">
        <v>16</v>
      </c>
      <c r="E50" s="3" t="s">
        <v>32</v>
      </c>
      <c r="F50" s="5">
        <v>0.01</v>
      </c>
      <c r="G50" s="5">
        <v>0.01</v>
      </c>
      <c r="H50" s="3">
        <v>1</v>
      </c>
      <c r="I50" s="3" t="s">
        <v>25</v>
      </c>
      <c r="J50" s="3">
        <v>2.75</v>
      </c>
      <c r="K50" s="3" t="s">
        <v>17</v>
      </c>
      <c r="L50" s="3" t="s">
        <v>17</v>
      </c>
      <c r="M50" s="3" t="s">
        <v>17</v>
      </c>
      <c r="N50" s="3" t="s">
        <v>17</v>
      </c>
      <c r="O50" s="3"/>
      <c r="P50">
        <v>0</v>
      </c>
      <c r="Q50">
        <v>0</v>
      </c>
    </row>
    <row r="51" spans="1:17" ht="14" x14ac:dyDescent="0.15">
      <c r="A51" s="2">
        <v>45573</v>
      </c>
      <c r="B51" s="3">
        <v>8</v>
      </c>
      <c r="C51" s="3">
        <v>0</v>
      </c>
      <c r="D51" s="3" t="s">
        <v>16</v>
      </c>
      <c r="E51" s="3" t="s">
        <v>32</v>
      </c>
      <c r="F51" s="5">
        <v>0.01</v>
      </c>
      <c r="G51" s="5">
        <v>0.01</v>
      </c>
      <c r="H51" s="3">
        <v>2</v>
      </c>
      <c r="I51" s="3" t="s">
        <v>25</v>
      </c>
      <c r="J51" s="3">
        <v>2.75</v>
      </c>
      <c r="K51" s="3" t="s">
        <v>17</v>
      </c>
      <c r="L51" s="3" t="s">
        <v>17</v>
      </c>
      <c r="M51" s="3" t="s">
        <v>17</v>
      </c>
      <c r="N51" s="3" t="s">
        <v>17</v>
      </c>
      <c r="O51" s="3"/>
      <c r="P51">
        <v>0</v>
      </c>
      <c r="Q51">
        <v>0</v>
      </c>
    </row>
    <row r="52" spans="1:17" ht="14" x14ac:dyDescent="0.15">
      <c r="A52" s="2">
        <v>45573</v>
      </c>
      <c r="B52" s="3">
        <v>8</v>
      </c>
      <c r="C52" s="3">
        <v>0</v>
      </c>
      <c r="D52" s="3" t="s">
        <v>16</v>
      </c>
      <c r="E52" s="3" t="s">
        <v>32</v>
      </c>
      <c r="F52" s="5">
        <v>0.01</v>
      </c>
      <c r="G52" s="5">
        <v>0.01</v>
      </c>
      <c r="H52" s="3">
        <v>3</v>
      </c>
      <c r="I52" s="3" t="s">
        <v>25</v>
      </c>
      <c r="J52" s="3">
        <v>2.75</v>
      </c>
      <c r="K52" s="3" t="s">
        <v>17</v>
      </c>
      <c r="L52" s="3" t="s">
        <v>17</v>
      </c>
      <c r="M52" s="3" t="s">
        <v>17</v>
      </c>
      <c r="N52" s="3" t="s">
        <v>17</v>
      </c>
      <c r="O52" s="3"/>
      <c r="P52">
        <v>0</v>
      </c>
      <c r="Q52">
        <v>0</v>
      </c>
    </row>
    <row r="53" spans="1:17" ht="14" x14ac:dyDescent="0.15">
      <c r="A53" s="2">
        <v>45576</v>
      </c>
      <c r="B53" s="3">
        <v>11</v>
      </c>
      <c r="C53" s="3">
        <v>3</v>
      </c>
      <c r="D53" s="3" t="s">
        <v>16</v>
      </c>
      <c r="E53" s="3" t="s">
        <v>24</v>
      </c>
      <c r="F53" s="3">
        <v>100</v>
      </c>
      <c r="G53" s="3">
        <v>100</v>
      </c>
      <c r="H53" s="3">
        <v>1</v>
      </c>
      <c r="I53" s="3" t="s">
        <v>25</v>
      </c>
      <c r="J53" s="3">
        <v>6.93</v>
      </c>
      <c r="K53" s="3">
        <v>2.75</v>
      </c>
      <c r="L53" s="3">
        <v>1</v>
      </c>
      <c r="M53" s="3">
        <v>3</v>
      </c>
      <c r="N53" s="3" t="s">
        <v>17</v>
      </c>
      <c r="O53" s="3"/>
      <c r="P53">
        <f>LOG(J53/J14,2)</f>
        <v>1.3334237337251917</v>
      </c>
      <c r="Q53">
        <f>P53+Q14</f>
        <v>1.3334237337251917</v>
      </c>
    </row>
    <row r="54" spans="1:17" ht="14" x14ac:dyDescent="0.15">
      <c r="A54" s="2">
        <v>45576</v>
      </c>
      <c r="B54" s="3">
        <v>11</v>
      </c>
      <c r="C54" s="3">
        <v>3</v>
      </c>
      <c r="D54" s="3" t="s">
        <v>16</v>
      </c>
      <c r="E54" s="3" t="s">
        <v>24</v>
      </c>
      <c r="F54" s="3">
        <v>100</v>
      </c>
      <c r="G54" s="3">
        <v>100</v>
      </c>
      <c r="H54" s="3">
        <v>2</v>
      </c>
      <c r="I54" s="3" t="s">
        <v>25</v>
      </c>
      <c r="J54" s="3">
        <v>5.94</v>
      </c>
      <c r="K54" s="3">
        <v>2.75</v>
      </c>
      <c r="L54" s="3">
        <v>1</v>
      </c>
      <c r="M54" s="3">
        <v>3</v>
      </c>
      <c r="N54" s="3" t="s">
        <v>17</v>
      </c>
      <c r="O54" s="3"/>
      <c r="P54">
        <f>LOG(J54/J15,2)</f>
        <v>1.1110313123887441</v>
      </c>
      <c r="Q54">
        <f t="shared" ref="Q54:Q117" si="0">P54+Q15</f>
        <v>1.1110313123887441</v>
      </c>
    </row>
    <row r="55" spans="1:17" ht="14" x14ac:dyDescent="0.15">
      <c r="A55" s="2">
        <v>45576</v>
      </c>
      <c r="B55" s="3">
        <v>11</v>
      </c>
      <c r="C55" s="3">
        <v>3</v>
      </c>
      <c r="D55" s="3" t="s">
        <v>16</v>
      </c>
      <c r="E55" s="3" t="s">
        <v>24</v>
      </c>
      <c r="F55" s="3">
        <v>100</v>
      </c>
      <c r="G55" s="3">
        <v>100</v>
      </c>
      <c r="H55" s="3">
        <v>3</v>
      </c>
      <c r="I55" s="3" t="s">
        <v>25</v>
      </c>
      <c r="J55" s="3">
        <v>6.64</v>
      </c>
      <c r="K55" s="3">
        <v>2.75</v>
      </c>
      <c r="L55" s="3">
        <v>1</v>
      </c>
      <c r="M55" s="3">
        <v>3</v>
      </c>
      <c r="N55" s="3" t="s">
        <v>17</v>
      </c>
      <c r="O55" s="3"/>
      <c r="P55">
        <f>LOG(J55/J16,2)</f>
        <v>1.2717516229349028</v>
      </c>
      <c r="Q55">
        <f t="shared" si="0"/>
        <v>1.2717516229349028</v>
      </c>
    </row>
    <row r="56" spans="1:17" ht="28" x14ac:dyDescent="0.15">
      <c r="A56" s="2">
        <v>45576</v>
      </c>
      <c r="B56" s="3">
        <v>11</v>
      </c>
      <c r="C56" s="3">
        <v>3</v>
      </c>
      <c r="D56" s="3" t="s">
        <v>16</v>
      </c>
      <c r="E56" s="3" t="s">
        <v>24</v>
      </c>
      <c r="F56" s="3">
        <v>1000</v>
      </c>
      <c r="G56" s="3">
        <v>1000</v>
      </c>
      <c r="H56" s="3">
        <v>1</v>
      </c>
      <c r="I56" s="3" t="s">
        <v>25</v>
      </c>
      <c r="J56" s="3" t="s">
        <v>17</v>
      </c>
      <c r="K56" s="3"/>
      <c r="L56" s="3"/>
      <c r="M56" s="3"/>
      <c r="N56" s="3" t="s">
        <v>17</v>
      </c>
      <c r="O56" s="3" t="s">
        <v>33</v>
      </c>
      <c r="Q56">
        <f t="shared" si="0"/>
        <v>0</v>
      </c>
    </row>
    <row r="57" spans="1:17" ht="28" x14ac:dyDescent="0.15">
      <c r="A57" s="2">
        <v>45576</v>
      </c>
      <c r="B57" s="3">
        <v>11</v>
      </c>
      <c r="C57" s="3">
        <v>3</v>
      </c>
      <c r="D57" s="3" t="s">
        <v>16</v>
      </c>
      <c r="E57" s="3" t="s">
        <v>24</v>
      </c>
      <c r="F57" s="3">
        <v>1000</v>
      </c>
      <c r="G57" s="3">
        <v>1000</v>
      </c>
      <c r="H57" s="3">
        <v>2</v>
      </c>
      <c r="I57" s="3" t="s">
        <v>25</v>
      </c>
      <c r="J57" s="3" t="s">
        <v>17</v>
      </c>
      <c r="K57" s="3"/>
      <c r="L57" s="3"/>
      <c r="M57" s="3"/>
      <c r="N57" s="3" t="s">
        <v>17</v>
      </c>
      <c r="O57" s="3" t="s">
        <v>33</v>
      </c>
      <c r="Q57">
        <f t="shared" si="0"/>
        <v>0</v>
      </c>
    </row>
    <row r="58" spans="1:17" ht="28" x14ac:dyDescent="0.15">
      <c r="A58" s="2">
        <v>45576</v>
      </c>
      <c r="B58" s="3">
        <v>11</v>
      </c>
      <c r="C58" s="3">
        <v>3</v>
      </c>
      <c r="D58" s="3" t="s">
        <v>16</v>
      </c>
      <c r="E58" s="3" t="s">
        <v>24</v>
      </c>
      <c r="F58" s="3">
        <v>1000</v>
      </c>
      <c r="G58" s="3">
        <v>1000</v>
      </c>
      <c r="H58" s="3">
        <v>3</v>
      </c>
      <c r="I58" s="3" t="s">
        <v>25</v>
      </c>
      <c r="J58" s="3" t="s">
        <v>17</v>
      </c>
      <c r="K58" s="3"/>
      <c r="L58" s="3"/>
      <c r="M58" s="3"/>
      <c r="N58" s="3" t="s">
        <v>17</v>
      </c>
      <c r="O58" s="3" t="s">
        <v>33</v>
      </c>
      <c r="Q58">
        <f t="shared" si="0"/>
        <v>0</v>
      </c>
    </row>
    <row r="59" spans="1:17" ht="14" x14ac:dyDescent="0.15">
      <c r="A59" s="2">
        <v>45576</v>
      </c>
      <c r="B59" s="3">
        <v>11</v>
      </c>
      <c r="C59" s="3">
        <v>3</v>
      </c>
      <c r="D59" s="3" t="s">
        <v>16</v>
      </c>
      <c r="E59" s="3" t="s">
        <v>27</v>
      </c>
      <c r="F59" s="3">
        <v>1250</v>
      </c>
      <c r="G59" s="3">
        <v>1250</v>
      </c>
      <c r="H59" s="3">
        <v>1</v>
      </c>
      <c r="I59" s="3" t="s">
        <v>25</v>
      </c>
      <c r="J59" s="3">
        <v>7.57</v>
      </c>
      <c r="K59" s="3">
        <v>2.75</v>
      </c>
      <c r="L59" s="3">
        <v>1</v>
      </c>
      <c r="M59" s="3">
        <v>3</v>
      </c>
      <c r="N59" s="3" t="s">
        <v>17</v>
      </c>
      <c r="O59" s="3"/>
      <c r="P59">
        <f>LOG(J59/J20,2)</f>
        <v>1.4608616815737097</v>
      </c>
      <c r="Q59">
        <f t="shared" si="0"/>
        <v>1.4608616815737097</v>
      </c>
    </row>
    <row r="60" spans="1:17" ht="14" x14ac:dyDescent="0.15">
      <c r="A60" s="2">
        <v>45576</v>
      </c>
      <c r="B60" s="3">
        <v>11</v>
      </c>
      <c r="C60" s="3">
        <v>3</v>
      </c>
      <c r="D60" s="3" t="s">
        <v>16</v>
      </c>
      <c r="E60" s="3" t="s">
        <v>27</v>
      </c>
      <c r="F60" s="3">
        <v>1250</v>
      </c>
      <c r="G60" s="3">
        <v>1250</v>
      </c>
      <c r="H60" s="3">
        <v>2</v>
      </c>
      <c r="I60" s="3" t="s">
        <v>25</v>
      </c>
      <c r="J60" s="3">
        <v>6.72</v>
      </c>
      <c r="K60" s="3">
        <v>2.75</v>
      </c>
      <c r="L60" s="3">
        <v>1</v>
      </c>
      <c r="M60" s="3">
        <v>3</v>
      </c>
      <c r="N60" s="3" t="s">
        <v>17</v>
      </c>
      <c r="O60" s="3"/>
      <c r="P60">
        <f>LOG(J60/J21,2)</f>
        <v>1.2890296143667381</v>
      </c>
      <c r="Q60">
        <f t="shared" si="0"/>
        <v>1.2890296143667381</v>
      </c>
    </row>
    <row r="61" spans="1:17" ht="14" x14ac:dyDescent="0.15">
      <c r="A61" s="2">
        <v>45576</v>
      </c>
      <c r="B61" s="3">
        <v>11</v>
      </c>
      <c r="C61" s="3">
        <v>3</v>
      </c>
      <c r="D61" s="3" t="s">
        <v>16</v>
      </c>
      <c r="E61" s="3" t="s">
        <v>27</v>
      </c>
      <c r="F61" s="3">
        <v>1250</v>
      </c>
      <c r="G61" s="3">
        <v>1250</v>
      </c>
      <c r="H61" s="3">
        <v>3</v>
      </c>
      <c r="I61" s="3" t="s">
        <v>25</v>
      </c>
      <c r="J61" s="3">
        <v>7.94</v>
      </c>
      <c r="K61" s="3">
        <v>2.75</v>
      </c>
      <c r="L61" s="3">
        <v>1</v>
      </c>
      <c r="M61" s="3">
        <v>3</v>
      </c>
      <c r="N61" s="3" t="s">
        <v>17</v>
      </c>
      <c r="O61" s="3"/>
      <c r="P61">
        <f>LOG(J61/J22,2)</f>
        <v>1.529707388730936</v>
      </c>
      <c r="Q61">
        <f t="shared" si="0"/>
        <v>1.529707388730936</v>
      </c>
    </row>
    <row r="62" spans="1:17" ht="28" x14ac:dyDescent="0.15">
      <c r="A62" s="2">
        <v>45576</v>
      </c>
      <c r="B62" s="3">
        <v>11</v>
      </c>
      <c r="C62" s="3">
        <v>3</v>
      </c>
      <c r="D62" s="3" t="s">
        <v>16</v>
      </c>
      <c r="E62" s="3" t="s">
        <v>27</v>
      </c>
      <c r="F62" s="3">
        <v>5000</v>
      </c>
      <c r="G62" s="3">
        <v>5000</v>
      </c>
      <c r="H62" s="3">
        <v>1</v>
      </c>
      <c r="I62" s="3" t="s">
        <v>25</v>
      </c>
      <c r="J62" s="3" t="s">
        <v>17</v>
      </c>
      <c r="K62" s="3"/>
      <c r="L62" s="3"/>
      <c r="M62" s="3"/>
      <c r="N62" s="3" t="s">
        <v>17</v>
      </c>
      <c r="O62" s="3" t="s">
        <v>33</v>
      </c>
      <c r="Q62">
        <f>P62+Q23</f>
        <v>0</v>
      </c>
    </row>
    <row r="63" spans="1:17" ht="28" x14ac:dyDescent="0.15">
      <c r="A63" s="2">
        <v>45576</v>
      </c>
      <c r="B63" s="3">
        <v>11</v>
      </c>
      <c r="C63" s="3">
        <v>3</v>
      </c>
      <c r="D63" s="3" t="s">
        <v>16</v>
      </c>
      <c r="E63" s="3" t="s">
        <v>27</v>
      </c>
      <c r="F63" s="3">
        <v>5000</v>
      </c>
      <c r="G63" s="3">
        <v>5000</v>
      </c>
      <c r="H63" s="3">
        <v>2</v>
      </c>
      <c r="I63" s="3" t="s">
        <v>25</v>
      </c>
      <c r="J63" s="3" t="s">
        <v>17</v>
      </c>
      <c r="K63" s="3"/>
      <c r="L63" s="3"/>
      <c r="M63" s="3"/>
      <c r="N63" s="3" t="s">
        <v>17</v>
      </c>
      <c r="O63" s="3" t="s">
        <v>33</v>
      </c>
      <c r="Q63">
        <f t="shared" si="0"/>
        <v>0</v>
      </c>
    </row>
    <row r="64" spans="1:17" ht="28" x14ac:dyDescent="0.15">
      <c r="A64" s="2">
        <v>45576</v>
      </c>
      <c r="B64" s="3">
        <v>11</v>
      </c>
      <c r="C64" s="3">
        <v>3</v>
      </c>
      <c r="D64" s="3" t="s">
        <v>16</v>
      </c>
      <c r="E64" s="3" t="s">
        <v>27</v>
      </c>
      <c r="F64" s="3">
        <v>5000</v>
      </c>
      <c r="G64" s="3">
        <v>5000</v>
      </c>
      <c r="H64" s="3">
        <v>3</v>
      </c>
      <c r="I64" s="3" t="s">
        <v>25</v>
      </c>
      <c r="J64" s="3" t="s">
        <v>17</v>
      </c>
      <c r="K64" s="3"/>
      <c r="L64" s="3"/>
      <c r="M64" s="3"/>
      <c r="N64" s="3" t="s">
        <v>17</v>
      </c>
      <c r="O64" s="3" t="s">
        <v>33</v>
      </c>
      <c r="Q64">
        <f t="shared" si="0"/>
        <v>0</v>
      </c>
    </row>
    <row r="65" spans="1:17" ht="14" x14ac:dyDescent="0.15">
      <c r="A65" s="2">
        <v>45576</v>
      </c>
      <c r="B65" s="3">
        <v>11</v>
      </c>
      <c r="C65" s="3">
        <v>3</v>
      </c>
      <c r="D65" s="3" t="s">
        <v>16</v>
      </c>
      <c r="E65" s="3" t="s">
        <v>28</v>
      </c>
      <c r="F65" s="3">
        <v>1500</v>
      </c>
      <c r="G65" s="3">
        <v>1500</v>
      </c>
      <c r="H65" s="3">
        <v>1</v>
      </c>
      <c r="I65" s="3" t="s">
        <v>25</v>
      </c>
      <c r="J65" s="3">
        <v>6.98</v>
      </c>
      <c r="K65" s="3">
        <v>2.75</v>
      </c>
      <c r="L65" s="3">
        <v>1</v>
      </c>
      <c r="M65" s="3">
        <v>3</v>
      </c>
      <c r="N65" s="3" t="s">
        <v>17</v>
      </c>
      <c r="O65" s="3"/>
      <c r="P65">
        <f>LOG(J65/J26,2)</f>
        <v>1.3437954177976306</v>
      </c>
      <c r="Q65">
        <f t="shared" si="0"/>
        <v>1.3437954177976306</v>
      </c>
    </row>
    <row r="66" spans="1:17" ht="14" x14ac:dyDescent="0.15">
      <c r="A66" s="2">
        <v>45576</v>
      </c>
      <c r="B66" s="3">
        <v>11</v>
      </c>
      <c r="C66" s="3">
        <v>3</v>
      </c>
      <c r="D66" s="3" t="s">
        <v>16</v>
      </c>
      <c r="E66" s="3" t="s">
        <v>28</v>
      </c>
      <c r="F66" s="3">
        <v>1500</v>
      </c>
      <c r="G66" s="3">
        <v>1500</v>
      </c>
      <c r="H66" s="3">
        <v>2</v>
      </c>
      <c r="I66" s="3" t="s">
        <v>25</v>
      </c>
      <c r="J66" s="3">
        <v>5.71</v>
      </c>
      <c r="K66" s="3">
        <v>2.75</v>
      </c>
      <c r="L66" s="3">
        <v>1</v>
      </c>
      <c r="M66" s="3">
        <v>3</v>
      </c>
      <c r="N66" s="3" t="s">
        <v>17</v>
      </c>
      <c r="O66" s="3"/>
      <c r="P66">
        <f>LOG(J66/J27,2)</f>
        <v>1.0540591269508208</v>
      </c>
      <c r="Q66">
        <f t="shared" si="0"/>
        <v>1.0540591269508208</v>
      </c>
    </row>
    <row r="67" spans="1:17" ht="14" x14ac:dyDescent="0.15">
      <c r="A67" s="2">
        <v>45576</v>
      </c>
      <c r="B67" s="3">
        <v>11</v>
      </c>
      <c r="C67" s="3">
        <v>3</v>
      </c>
      <c r="D67" s="3" t="s">
        <v>16</v>
      </c>
      <c r="E67" s="3" t="s">
        <v>28</v>
      </c>
      <c r="F67" s="3">
        <v>1500</v>
      </c>
      <c r="G67" s="3">
        <v>1500</v>
      </c>
      <c r="H67" s="3">
        <v>3</v>
      </c>
      <c r="I67" s="3" t="s">
        <v>25</v>
      </c>
      <c r="J67" s="3">
        <v>6.46</v>
      </c>
      <c r="K67" s="3">
        <v>2.75</v>
      </c>
      <c r="L67" s="3">
        <v>1</v>
      </c>
      <c r="M67" s="3">
        <v>3</v>
      </c>
      <c r="N67" s="3" t="s">
        <v>17</v>
      </c>
      <c r="O67" s="3"/>
      <c r="P67">
        <f>LOG(J67/J28,2)</f>
        <v>1.2321025462819031</v>
      </c>
      <c r="Q67">
        <f t="shared" si="0"/>
        <v>1.2321025462819031</v>
      </c>
    </row>
    <row r="68" spans="1:17" ht="28" x14ac:dyDescent="0.15">
      <c r="A68" s="2">
        <v>45576</v>
      </c>
      <c r="B68" s="3">
        <v>11</v>
      </c>
      <c r="C68" s="3">
        <v>3</v>
      </c>
      <c r="D68" s="3" t="s">
        <v>16</v>
      </c>
      <c r="E68" s="3" t="s">
        <v>28</v>
      </c>
      <c r="F68" s="3">
        <v>5000</v>
      </c>
      <c r="G68" s="3">
        <v>5000</v>
      </c>
      <c r="H68" s="3">
        <v>1</v>
      </c>
      <c r="I68" s="3" t="s">
        <v>25</v>
      </c>
      <c r="J68" s="3" t="s">
        <v>17</v>
      </c>
      <c r="K68" s="3"/>
      <c r="L68" s="3"/>
      <c r="M68" s="3"/>
      <c r="N68" s="3" t="s">
        <v>17</v>
      </c>
      <c r="O68" s="3" t="s">
        <v>33</v>
      </c>
      <c r="Q68">
        <f t="shared" si="0"/>
        <v>0</v>
      </c>
    </row>
    <row r="69" spans="1:17" ht="28" x14ac:dyDescent="0.15">
      <c r="A69" s="2">
        <v>45576</v>
      </c>
      <c r="B69" s="3">
        <v>11</v>
      </c>
      <c r="C69" s="3">
        <v>3</v>
      </c>
      <c r="D69" s="3" t="s">
        <v>16</v>
      </c>
      <c r="E69" s="3" t="s">
        <v>28</v>
      </c>
      <c r="F69" s="3">
        <v>5000</v>
      </c>
      <c r="G69" s="3">
        <v>5000</v>
      </c>
      <c r="H69" s="3">
        <v>2</v>
      </c>
      <c r="I69" s="3" t="s">
        <v>25</v>
      </c>
      <c r="J69" s="3" t="s">
        <v>17</v>
      </c>
      <c r="K69" s="3"/>
      <c r="L69" s="3"/>
      <c r="M69" s="3"/>
      <c r="N69" s="3" t="s">
        <v>17</v>
      </c>
      <c r="O69" s="3" t="s">
        <v>33</v>
      </c>
      <c r="Q69">
        <f t="shared" si="0"/>
        <v>0</v>
      </c>
    </row>
    <row r="70" spans="1:17" ht="28" x14ac:dyDescent="0.15">
      <c r="A70" s="2">
        <v>45576</v>
      </c>
      <c r="B70" s="3">
        <v>11</v>
      </c>
      <c r="C70" s="3">
        <v>3</v>
      </c>
      <c r="D70" s="3" t="s">
        <v>16</v>
      </c>
      <c r="E70" s="3" t="s">
        <v>28</v>
      </c>
      <c r="F70" s="3">
        <v>5000</v>
      </c>
      <c r="G70" s="3">
        <v>5000</v>
      </c>
      <c r="H70" s="3">
        <v>3</v>
      </c>
      <c r="I70" s="3" t="s">
        <v>25</v>
      </c>
      <c r="J70" s="3" t="s">
        <v>17</v>
      </c>
      <c r="K70" s="3"/>
      <c r="L70" s="3"/>
      <c r="M70" s="3"/>
      <c r="N70" s="3" t="s">
        <v>17</v>
      </c>
      <c r="O70" s="3" t="s">
        <v>33</v>
      </c>
      <c r="Q70">
        <f t="shared" si="0"/>
        <v>0</v>
      </c>
    </row>
    <row r="71" spans="1:17" ht="28" x14ac:dyDescent="0.15">
      <c r="A71" s="2">
        <v>45576</v>
      </c>
      <c r="B71" s="3">
        <v>11</v>
      </c>
      <c r="C71" s="3">
        <v>3</v>
      </c>
      <c r="D71" s="3" t="s">
        <v>16</v>
      </c>
      <c r="E71" s="3" t="s">
        <v>29</v>
      </c>
      <c r="F71" s="3">
        <v>1000</v>
      </c>
      <c r="G71" s="3">
        <v>1000</v>
      </c>
      <c r="H71" s="3">
        <v>1</v>
      </c>
      <c r="I71" s="3" t="s">
        <v>25</v>
      </c>
      <c r="J71" s="3">
        <v>1.8</v>
      </c>
      <c r="K71" s="3">
        <v>2.75</v>
      </c>
      <c r="L71" s="3" t="s">
        <v>17</v>
      </c>
      <c r="M71" s="3" t="s">
        <v>17</v>
      </c>
      <c r="N71" s="3" t="s">
        <v>17</v>
      </c>
      <c r="O71" s="3" t="s">
        <v>34</v>
      </c>
      <c r="Q71">
        <f t="shared" si="0"/>
        <v>0</v>
      </c>
    </row>
    <row r="72" spans="1:17" ht="28" x14ac:dyDescent="0.15">
      <c r="A72" s="2">
        <v>45576</v>
      </c>
      <c r="B72" s="3">
        <v>11</v>
      </c>
      <c r="C72" s="3">
        <v>3</v>
      </c>
      <c r="D72" s="3" t="s">
        <v>16</v>
      </c>
      <c r="E72" s="3" t="s">
        <v>29</v>
      </c>
      <c r="F72" s="3">
        <v>1000</v>
      </c>
      <c r="G72" s="3">
        <v>1000</v>
      </c>
      <c r="H72" s="3">
        <v>2</v>
      </c>
      <c r="I72" s="3" t="s">
        <v>25</v>
      </c>
      <c r="J72" s="3">
        <v>2.4300000000000002</v>
      </c>
      <c r="K72" s="3">
        <v>2.75</v>
      </c>
      <c r="L72" s="3" t="s">
        <v>17</v>
      </c>
      <c r="M72" s="3" t="s">
        <v>17</v>
      </c>
      <c r="N72" s="3" t="s">
        <v>17</v>
      </c>
      <c r="O72" s="3" t="s">
        <v>34</v>
      </c>
      <c r="Q72">
        <f t="shared" si="0"/>
        <v>0</v>
      </c>
    </row>
    <row r="73" spans="1:17" ht="28" x14ac:dyDescent="0.15">
      <c r="A73" s="2">
        <v>45576</v>
      </c>
      <c r="B73" s="3">
        <v>11</v>
      </c>
      <c r="C73" s="3">
        <v>3</v>
      </c>
      <c r="D73" s="3" t="s">
        <v>16</v>
      </c>
      <c r="E73" s="3" t="s">
        <v>29</v>
      </c>
      <c r="F73" s="3">
        <v>1000</v>
      </c>
      <c r="G73" s="3">
        <v>1000</v>
      </c>
      <c r="H73" s="3">
        <v>3</v>
      </c>
      <c r="I73" s="3" t="s">
        <v>25</v>
      </c>
      <c r="J73" s="3">
        <v>1.61</v>
      </c>
      <c r="K73" s="3">
        <v>2.75</v>
      </c>
      <c r="L73" s="3" t="s">
        <v>17</v>
      </c>
      <c r="M73" s="3" t="s">
        <v>17</v>
      </c>
      <c r="N73" s="3" t="s">
        <v>17</v>
      </c>
      <c r="O73" s="3" t="s">
        <v>34</v>
      </c>
      <c r="Q73">
        <f t="shared" si="0"/>
        <v>0</v>
      </c>
    </row>
    <row r="74" spans="1:17" ht="14" x14ac:dyDescent="0.15">
      <c r="A74" s="2">
        <v>45576</v>
      </c>
      <c r="B74" s="3">
        <v>11</v>
      </c>
      <c r="C74" s="3">
        <v>3</v>
      </c>
      <c r="D74" s="3" t="s">
        <v>16</v>
      </c>
      <c r="E74" s="3" t="s">
        <v>29</v>
      </c>
      <c r="F74" s="3">
        <v>2500</v>
      </c>
      <c r="G74" s="3">
        <v>2500</v>
      </c>
      <c r="H74" s="3">
        <v>1</v>
      </c>
      <c r="I74" s="3" t="s">
        <v>25</v>
      </c>
      <c r="J74" s="3" t="s">
        <v>17</v>
      </c>
      <c r="K74" s="3"/>
      <c r="L74" s="3"/>
      <c r="M74" s="3"/>
      <c r="N74" s="3" t="s">
        <v>17</v>
      </c>
      <c r="O74" s="3"/>
      <c r="Q74">
        <f t="shared" si="0"/>
        <v>0</v>
      </c>
    </row>
    <row r="75" spans="1:17" ht="14" x14ac:dyDescent="0.15">
      <c r="A75" s="2">
        <v>45576</v>
      </c>
      <c r="B75" s="3">
        <v>11</v>
      </c>
      <c r="C75" s="3">
        <v>3</v>
      </c>
      <c r="D75" s="3" t="s">
        <v>16</v>
      </c>
      <c r="E75" s="3" t="s">
        <v>29</v>
      </c>
      <c r="F75" s="3">
        <v>2500</v>
      </c>
      <c r="G75" s="3">
        <v>2500</v>
      </c>
      <c r="H75" s="3">
        <v>2</v>
      </c>
      <c r="I75" s="3" t="s">
        <v>25</v>
      </c>
      <c r="J75" s="3" t="s">
        <v>17</v>
      </c>
      <c r="K75" s="3"/>
      <c r="L75" s="3"/>
      <c r="M75" s="3"/>
      <c r="N75" s="3" t="s">
        <v>17</v>
      </c>
      <c r="O75" s="3"/>
      <c r="Q75">
        <f t="shared" si="0"/>
        <v>0</v>
      </c>
    </row>
    <row r="76" spans="1:17" ht="14" x14ac:dyDescent="0.15">
      <c r="A76" s="2">
        <v>45576</v>
      </c>
      <c r="B76" s="3">
        <v>11</v>
      </c>
      <c r="C76" s="3">
        <v>3</v>
      </c>
      <c r="D76" s="3" t="s">
        <v>16</v>
      </c>
      <c r="E76" s="3" t="s">
        <v>29</v>
      </c>
      <c r="F76" s="3">
        <v>2500</v>
      </c>
      <c r="G76" s="3">
        <v>2500</v>
      </c>
      <c r="H76" s="3">
        <v>3</v>
      </c>
      <c r="I76" s="3" t="s">
        <v>25</v>
      </c>
      <c r="J76" s="3" t="s">
        <v>17</v>
      </c>
      <c r="K76" s="3"/>
      <c r="L76" s="3"/>
      <c r="M76" s="3"/>
      <c r="N76" s="3" t="s">
        <v>17</v>
      </c>
      <c r="O76" s="3"/>
      <c r="Q76">
        <f t="shared" si="0"/>
        <v>0</v>
      </c>
    </row>
    <row r="77" spans="1:17" ht="14" x14ac:dyDescent="0.15">
      <c r="A77" s="2">
        <v>45576</v>
      </c>
      <c r="B77" s="3">
        <v>11</v>
      </c>
      <c r="C77" s="3">
        <v>3</v>
      </c>
      <c r="D77" s="3" t="s">
        <v>16</v>
      </c>
      <c r="E77" s="3" t="s">
        <v>30</v>
      </c>
      <c r="F77" s="3">
        <v>2000</v>
      </c>
      <c r="G77" s="3">
        <v>2000</v>
      </c>
      <c r="H77" s="3">
        <v>1</v>
      </c>
      <c r="I77" s="3" t="s">
        <v>25</v>
      </c>
      <c r="J77" s="3">
        <v>8.7200000000000006</v>
      </c>
      <c r="K77" s="3">
        <v>2.75</v>
      </c>
      <c r="L77" s="3">
        <v>1</v>
      </c>
      <c r="M77" s="3">
        <v>3</v>
      </c>
      <c r="N77" s="3" t="s">
        <v>17</v>
      </c>
      <c r="O77" s="3"/>
      <c r="P77">
        <f t="shared" ref="P77:P79" si="1">LOG(J77/J38,2)</f>
        <v>1.6648965163649045</v>
      </c>
      <c r="Q77">
        <f t="shared" si="0"/>
        <v>1.6648965163649045</v>
      </c>
    </row>
    <row r="78" spans="1:17" ht="14" x14ac:dyDescent="0.15">
      <c r="A78" s="2">
        <v>45576</v>
      </c>
      <c r="B78" s="3">
        <v>11</v>
      </c>
      <c r="C78" s="3">
        <v>3</v>
      </c>
      <c r="D78" s="3" t="s">
        <v>16</v>
      </c>
      <c r="E78" s="3" t="s">
        <v>30</v>
      </c>
      <c r="F78" s="3">
        <v>2000</v>
      </c>
      <c r="G78" s="3">
        <v>2000</v>
      </c>
      <c r="H78" s="3">
        <v>2</v>
      </c>
      <c r="I78" s="3" t="s">
        <v>25</v>
      </c>
      <c r="J78" s="3">
        <v>8.6199999999999992</v>
      </c>
      <c r="K78" s="3">
        <v>2.75</v>
      </c>
      <c r="L78" s="3">
        <v>1</v>
      </c>
      <c r="M78" s="3">
        <v>3</v>
      </c>
      <c r="N78" s="3" t="s">
        <v>17</v>
      </c>
      <c r="O78" s="3"/>
      <c r="P78">
        <f t="shared" si="1"/>
        <v>1.6482562506770762</v>
      </c>
      <c r="Q78">
        <f t="shared" si="0"/>
        <v>1.6482562506770762</v>
      </c>
    </row>
    <row r="79" spans="1:17" ht="14" x14ac:dyDescent="0.15">
      <c r="A79" s="2">
        <v>45576</v>
      </c>
      <c r="B79" s="3">
        <v>11</v>
      </c>
      <c r="C79" s="3">
        <v>3</v>
      </c>
      <c r="D79" s="3" t="s">
        <v>16</v>
      </c>
      <c r="E79" s="3" t="s">
        <v>30</v>
      </c>
      <c r="F79" s="3">
        <v>2000</v>
      </c>
      <c r="G79" s="3">
        <v>2000</v>
      </c>
      <c r="H79" s="3">
        <v>3</v>
      </c>
      <c r="I79" s="3" t="s">
        <v>25</v>
      </c>
      <c r="J79" s="3">
        <v>7.26</v>
      </c>
      <c r="K79" s="3">
        <v>2.75</v>
      </c>
      <c r="L79" s="3">
        <v>1</v>
      </c>
      <c r="M79" s="3">
        <v>3</v>
      </c>
      <c r="N79" s="3" t="s">
        <v>17</v>
      </c>
      <c r="O79" s="3"/>
      <c r="P79">
        <f t="shared" si="1"/>
        <v>1.4005379295837288</v>
      </c>
      <c r="Q79">
        <f t="shared" si="0"/>
        <v>1.4005379295837288</v>
      </c>
    </row>
    <row r="80" spans="1:17" ht="28" x14ac:dyDescent="0.15">
      <c r="A80" s="2">
        <v>45576</v>
      </c>
      <c r="B80" s="3">
        <v>11</v>
      </c>
      <c r="C80" s="3">
        <v>3</v>
      </c>
      <c r="D80" s="3" t="s">
        <v>16</v>
      </c>
      <c r="E80" s="3" t="s">
        <v>30</v>
      </c>
      <c r="F80" s="3">
        <v>15000</v>
      </c>
      <c r="G80" s="3">
        <v>15000</v>
      </c>
      <c r="H80" s="3">
        <v>1</v>
      </c>
      <c r="I80" s="3" t="s">
        <v>25</v>
      </c>
      <c r="J80" s="3" t="s">
        <v>17</v>
      </c>
      <c r="K80" s="3"/>
      <c r="L80" s="3"/>
      <c r="M80" s="3"/>
      <c r="N80" s="3" t="s">
        <v>17</v>
      </c>
      <c r="O80" s="3" t="s">
        <v>33</v>
      </c>
      <c r="Q80">
        <f t="shared" si="0"/>
        <v>0</v>
      </c>
    </row>
    <row r="81" spans="1:17" ht="28" x14ac:dyDescent="0.15">
      <c r="A81" s="2">
        <v>45576</v>
      </c>
      <c r="B81" s="3">
        <v>11</v>
      </c>
      <c r="C81" s="3">
        <v>3</v>
      </c>
      <c r="D81" s="3" t="s">
        <v>16</v>
      </c>
      <c r="E81" s="3" t="s">
        <v>30</v>
      </c>
      <c r="F81" s="3">
        <v>15000</v>
      </c>
      <c r="G81" s="3">
        <v>15000</v>
      </c>
      <c r="H81" s="3">
        <v>2</v>
      </c>
      <c r="I81" s="3" t="s">
        <v>25</v>
      </c>
      <c r="J81" s="3" t="s">
        <v>17</v>
      </c>
      <c r="K81" s="3"/>
      <c r="L81" s="3"/>
      <c r="M81" s="3"/>
      <c r="N81" s="3" t="s">
        <v>17</v>
      </c>
      <c r="O81" s="3" t="s">
        <v>33</v>
      </c>
      <c r="Q81">
        <f t="shared" si="0"/>
        <v>0</v>
      </c>
    </row>
    <row r="82" spans="1:17" ht="28" x14ac:dyDescent="0.15">
      <c r="A82" s="2">
        <v>45576</v>
      </c>
      <c r="B82" s="3">
        <v>11</v>
      </c>
      <c r="C82" s="3">
        <v>3</v>
      </c>
      <c r="D82" s="3" t="s">
        <v>16</v>
      </c>
      <c r="E82" s="3" t="s">
        <v>30</v>
      </c>
      <c r="F82" s="3">
        <v>15000</v>
      </c>
      <c r="G82" s="3">
        <v>15000</v>
      </c>
      <c r="H82" s="3">
        <v>3</v>
      </c>
      <c r="I82" s="3" t="s">
        <v>25</v>
      </c>
      <c r="J82" s="3" t="s">
        <v>17</v>
      </c>
      <c r="K82" s="3"/>
      <c r="L82" s="3"/>
      <c r="M82" s="3"/>
      <c r="N82" s="3" t="s">
        <v>17</v>
      </c>
      <c r="O82" s="3" t="s">
        <v>33</v>
      </c>
      <c r="Q82">
        <f t="shared" si="0"/>
        <v>0</v>
      </c>
    </row>
    <row r="83" spans="1:17" ht="14" x14ac:dyDescent="0.15">
      <c r="A83" s="2">
        <v>45576</v>
      </c>
      <c r="B83" s="3">
        <v>11</v>
      </c>
      <c r="C83" s="3">
        <v>3</v>
      </c>
      <c r="D83" s="3" t="s">
        <v>16</v>
      </c>
      <c r="E83" s="3" t="s">
        <v>31</v>
      </c>
      <c r="F83" s="3">
        <v>4000</v>
      </c>
      <c r="G83" s="3">
        <v>4000</v>
      </c>
      <c r="H83" s="3">
        <v>1</v>
      </c>
      <c r="I83" s="3" t="s">
        <v>25</v>
      </c>
      <c r="J83" s="3">
        <v>8.35</v>
      </c>
      <c r="K83" s="3">
        <v>2.75</v>
      </c>
      <c r="L83" s="3">
        <v>1</v>
      </c>
      <c r="M83" s="3">
        <v>3</v>
      </c>
      <c r="N83" s="3" t="s">
        <v>17</v>
      </c>
      <c r="O83" s="3"/>
      <c r="P83">
        <f t="shared" ref="P83:P91" si="2">LOG(J83/J44,2)</f>
        <v>1.6023445789493924</v>
      </c>
      <c r="Q83">
        <f t="shared" si="0"/>
        <v>1.6023445789493924</v>
      </c>
    </row>
    <row r="84" spans="1:17" ht="14" x14ac:dyDescent="0.15">
      <c r="A84" s="2">
        <v>45576</v>
      </c>
      <c r="B84" s="3">
        <v>11</v>
      </c>
      <c r="C84" s="3">
        <v>3</v>
      </c>
      <c r="D84" s="3" t="s">
        <v>16</v>
      </c>
      <c r="E84" s="3" t="s">
        <v>31</v>
      </c>
      <c r="F84" s="3">
        <v>4000</v>
      </c>
      <c r="G84" s="3">
        <v>4000</v>
      </c>
      <c r="H84" s="3">
        <v>2</v>
      </c>
      <c r="I84" s="3" t="s">
        <v>25</v>
      </c>
      <c r="J84" s="3">
        <v>8.6199999999999992</v>
      </c>
      <c r="K84" s="3">
        <v>2.75</v>
      </c>
      <c r="L84" s="3">
        <v>1</v>
      </c>
      <c r="M84" s="3">
        <v>3</v>
      </c>
      <c r="N84" s="3" t="s">
        <v>17</v>
      </c>
      <c r="O84" s="3"/>
      <c r="P84">
        <f t="shared" si="2"/>
        <v>1.6482562506770762</v>
      </c>
      <c r="Q84">
        <f t="shared" si="0"/>
        <v>1.6482562506770762</v>
      </c>
    </row>
    <row r="85" spans="1:17" ht="14" x14ac:dyDescent="0.15">
      <c r="A85" s="2">
        <v>45576</v>
      </c>
      <c r="B85" s="3">
        <v>11</v>
      </c>
      <c r="C85" s="3">
        <v>3</v>
      </c>
      <c r="D85" s="3" t="s">
        <v>16</v>
      </c>
      <c r="E85" s="3" t="s">
        <v>31</v>
      </c>
      <c r="F85" s="3">
        <v>4000</v>
      </c>
      <c r="G85" s="3">
        <v>4000</v>
      </c>
      <c r="H85" s="3">
        <v>3</v>
      </c>
      <c r="I85" s="3" t="s">
        <v>25</v>
      </c>
      <c r="J85" s="3">
        <v>7.26</v>
      </c>
      <c r="K85" s="3">
        <v>2.75</v>
      </c>
      <c r="L85" s="3">
        <v>1</v>
      </c>
      <c r="M85" s="3">
        <v>3</v>
      </c>
      <c r="N85" s="3" t="s">
        <v>17</v>
      </c>
      <c r="O85" s="3"/>
      <c r="P85">
        <f t="shared" si="2"/>
        <v>1.4005379295837288</v>
      </c>
      <c r="Q85">
        <f t="shared" si="0"/>
        <v>1.4005379295837288</v>
      </c>
    </row>
    <row r="86" spans="1:17" ht="14" x14ac:dyDescent="0.15">
      <c r="A86" s="2">
        <v>45576</v>
      </c>
      <c r="B86" s="3">
        <v>11</v>
      </c>
      <c r="C86" s="3">
        <v>3</v>
      </c>
      <c r="D86" s="3" t="s">
        <v>16</v>
      </c>
      <c r="E86" s="3" t="s">
        <v>31</v>
      </c>
      <c r="F86" s="3">
        <v>8000</v>
      </c>
      <c r="G86" s="3">
        <v>8000</v>
      </c>
      <c r="H86" s="3">
        <v>1</v>
      </c>
      <c r="I86" s="3" t="s">
        <v>25</v>
      </c>
      <c r="J86" s="3">
        <v>7.01</v>
      </c>
      <c r="K86" s="3">
        <v>2.75</v>
      </c>
      <c r="L86" s="3">
        <v>1</v>
      </c>
      <c r="M86" s="3">
        <v>3</v>
      </c>
      <c r="N86" s="3" t="s">
        <v>17</v>
      </c>
      <c r="O86" s="3"/>
      <c r="P86">
        <f t="shared" si="2"/>
        <v>1.3499828255986013</v>
      </c>
      <c r="Q86">
        <f t="shared" si="0"/>
        <v>1.3499828255986013</v>
      </c>
    </row>
    <row r="87" spans="1:17" ht="14" x14ac:dyDescent="0.15">
      <c r="A87" s="2">
        <v>45576</v>
      </c>
      <c r="B87" s="3">
        <v>11</v>
      </c>
      <c r="C87" s="3">
        <v>3</v>
      </c>
      <c r="D87" s="3" t="s">
        <v>16</v>
      </c>
      <c r="E87" s="3" t="s">
        <v>31</v>
      </c>
      <c r="F87" s="3">
        <v>8000</v>
      </c>
      <c r="G87" s="3">
        <v>8000</v>
      </c>
      <c r="H87" s="3">
        <v>2</v>
      </c>
      <c r="I87" s="3" t="s">
        <v>25</v>
      </c>
      <c r="J87" s="3">
        <v>7.33</v>
      </c>
      <c r="K87" s="3">
        <v>2.75</v>
      </c>
      <c r="L87" s="3">
        <v>1</v>
      </c>
      <c r="M87" s="3">
        <v>3</v>
      </c>
      <c r="N87" s="3" t="s">
        <v>17</v>
      </c>
      <c r="O87" s="3"/>
      <c r="P87">
        <f t="shared" si="2"/>
        <v>1.41438157972179</v>
      </c>
      <c r="Q87">
        <f t="shared" si="0"/>
        <v>1.41438157972179</v>
      </c>
    </row>
    <row r="88" spans="1:17" ht="14" x14ac:dyDescent="0.15">
      <c r="A88" s="2">
        <v>45576</v>
      </c>
      <c r="B88" s="3">
        <v>11</v>
      </c>
      <c r="C88" s="3">
        <v>3</v>
      </c>
      <c r="D88" s="3" t="s">
        <v>16</v>
      </c>
      <c r="E88" s="3" t="s">
        <v>31</v>
      </c>
      <c r="F88" s="3">
        <v>8000</v>
      </c>
      <c r="G88" s="3">
        <v>8000</v>
      </c>
      <c r="H88" s="3">
        <v>3</v>
      </c>
      <c r="I88" s="3" t="s">
        <v>25</v>
      </c>
      <c r="J88" s="3">
        <v>6.92</v>
      </c>
      <c r="K88" s="3">
        <v>2.75</v>
      </c>
      <c r="L88" s="3">
        <v>1</v>
      </c>
      <c r="M88" s="3">
        <v>3</v>
      </c>
      <c r="N88" s="3" t="s">
        <v>17</v>
      </c>
      <c r="O88" s="3"/>
      <c r="P88">
        <f t="shared" si="2"/>
        <v>1.3313404192247027</v>
      </c>
      <c r="Q88">
        <f t="shared" si="0"/>
        <v>1.3313404192247027</v>
      </c>
    </row>
    <row r="89" spans="1:17" ht="14" x14ac:dyDescent="0.15">
      <c r="A89" s="2">
        <v>45576</v>
      </c>
      <c r="B89" s="3">
        <v>11</v>
      </c>
      <c r="C89" s="3">
        <v>3</v>
      </c>
      <c r="D89" s="3" t="s">
        <v>16</v>
      </c>
      <c r="E89" s="3" t="s">
        <v>32</v>
      </c>
      <c r="F89" s="5">
        <v>0.01</v>
      </c>
      <c r="G89" s="5">
        <v>0.01</v>
      </c>
      <c r="H89" s="3">
        <v>1</v>
      </c>
      <c r="I89" s="3" t="s">
        <v>25</v>
      </c>
      <c r="J89" s="3">
        <v>10.4</v>
      </c>
      <c r="K89" s="3">
        <v>2.75</v>
      </c>
      <c r="L89" s="3">
        <v>2</v>
      </c>
      <c r="M89" s="3">
        <v>3</v>
      </c>
      <c r="N89" s="3" t="s">
        <v>17</v>
      </c>
      <c r="O89" s="3"/>
      <c r="P89">
        <f t="shared" si="2"/>
        <v>1.9190800046164325</v>
      </c>
      <c r="Q89">
        <f t="shared" si="0"/>
        <v>1.9190800046164325</v>
      </c>
    </row>
    <row r="90" spans="1:17" ht="14" x14ac:dyDescent="0.15">
      <c r="A90" s="2">
        <v>45576</v>
      </c>
      <c r="B90" s="3">
        <v>11</v>
      </c>
      <c r="C90" s="3">
        <v>3</v>
      </c>
      <c r="D90" s="3" t="s">
        <v>16</v>
      </c>
      <c r="E90" s="3" t="s">
        <v>32</v>
      </c>
      <c r="F90" s="5">
        <v>0.01</v>
      </c>
      <c r="G90" s="5">
        <v>0.01</v>
      </c>
      <c r="H90" s="3">
        <v>2</v>
      </c>
      <c r="I90" s="3" t="s">
        <v>25</v>
      </c>
      <c r="J90" s="3">
        <v>9</v>
      </c>
      <c r="K90" s="3">
        <v>2.75</v>
      </c>
      <c r="L90" s="3">
        <v>2</v>
      </c>
      <c r="M90" s="3">
        <v>3</v>
      </c>
      <c r="N90" s="3" t="s">
        <v>17</v>
      </c>
      <c r="O90" s="3"/>
      <c r="P90">
        <f t="shared" si="2"/>
        <v>1.7104933828050153</v>
      </c>
      <c r="Q90">
        <f t="shared" si="0"/>
        <v>1.7104933828050153</v>
      </c>
    </row>
    <row r="91" spans="1:17" ht="14" x14ac:dyDescent="0.15">
      <c r="A91" s="2">
        <v>45576</v>
      </c>
      <c r="B91" s="3">
        <v>11</v>
      </c>
      <c r="C91" s="3">
        <v>3</v>
      </c>
      <c r="D91" s="3" t="s">
        <v>16</v>
      </c>
      <c r="E91" s="3" t="s">
        <v>32</v>
      </c>
      <c r="F91" s="5">
        <v>0.01</v>
      </c>
      <c r="G91" s="5">
        <v>0.01</v>
      </c>
      <c r="H91" s="3">
        <v>3</v>
      </c>
      <c r="I91" s="3" t="s">
        <v>25</v>
      </c>
      <c r="J91" s="3">
        <v>9.86</v>
      </c>
      <c r="K91" s="3">
        <v>2.75</v>
      </c>
      <c r="L91" s="3">
        <v>2</v>
      </c>
      <c r="M91" s="3">
        <v>3</v>
      </c>
      <c r="N91" s="3" t="s">
        <v>17</v>
      </c>
      <c r="O91" s="3"/>
      <c r="P91">
        <f t="shared" si="2"/>
        <v>1.8421560279658895</v>
      </c>
      <c r="Q91">
        <f t="shared" si="0"/>
        <v>1.8421560279658895</v>
      </c>
    </row>
    <row r="92" spans="1:17" ht="14" x14ac:dyDescent="0.15">
      <c r="A92" s="2">
        <v>45579</v>
      </c>
      <c r="B92" s="3">
        <v>14</v>
      </c>
      <c r="C92" s="3">
        <v>6</v>
      </c>
      <c r="D92" s="3" t="s">
        <v>16</v>
      </c>
      <c r="E92" s="3" t="s">
        <v>24</v>
      </c>
      <c r="F92" s="3">
        <v>100</v>
      </c>
      <c r="G92" s="3">
        <v>100</v>
      </c>
      <c r="H92" s="3">
        <v>1</v>
      </c>
      <c r="I92" s="3" t="s">
        <v>25</v>
      </c>
      <c r="J92" s="3">
        <v>5.34</v>
      </c>
      <c r="K92" s="3">
        <v>2.75</v>
      </c>
      <c r="L92" s="3">
        <v>1</v>
      </c>
      <c r="M92" s="3">
        <v>2.75</v>
      </c>
      <c r="N92" s="3" t="s">
        <v>17</v>
      </c>
      <c r="O92" s="3"/>
      <c r="P92">
        <f>LOG(J92/K53,2)</f>
        <v>0.95740812327553193</v>
      </c>
      <c r="Q92">
        <f t="shared" si="0"/>
        <v>2.2908318570007236</v>
      </c>
    </row>
    <row r="93" spans="1:17" ht="14" x14ac:dyDescent="0.15">
      <c r="A93" s="2">
        <v>45579</v>
      </c>
      <c r="B93" s="3">
        <v>14</v>
      </c>
      <c r="C93" s="3">
        <v>6</v>
      </c>
      <c r="D93" s="3" t="s">
        <v>16</v>
      </c>
      <c r="E93" s="3" t="s">
        <v>24</v>
      </c>
      <c r="F93" s="3">
        <v>100</v>
      </c>
      <c r="G93" s="3">
        <v>100</v>
      </c>
      <c r="H93" s="3">
        <v>2</v>
      </c>
      <c r="I93" s="3" t="s">
        <v>25</v>
      </c>
      <c r="J93" s="3">
        <v>5.31</v>
      </c>
      <c r="K93" s="3">
        <v>2.75</v>
      </c>
      <c r="L93" s="3">
        <v>1</v>
      </c>
      <c r="M93" s="3">
        <v>2.75</v>
      </c>
      <c r="N93" s="3" t="s">
        <v>17</v>
      </c>
      <c r="O93" s="3"/>
      <c r="P93">
        <f>LOG(J93/K54,2)</f>
        <v>0.94928024239213149</v>
      </c>
      <c r="Q93">
        <f t="shared" si="0"/>
        <v>2.0603115547808755</v>
      </c>
    </row>
    <row r="94" spans="1:17" ht="14" x14ac:dyDescent="0.15">
      <c r="A94" s="2">
        <v>45579</v>
      </c>
      <c r="B94" s="3">
        <v>14</v>
      </c>
      <c r="C94" s="3">
        <v>6</v>
      </c>
      <c r="D94" s="3" t="s">
        <v>16</v>
      </c>
      <c r="E94" s="3" t="s">
        <v>24</v>
      </c>
      <c r="F94" s="3">
        <v>100</v>
      </c>
      <c r="G94" s="3">
        <v>100</v>
      </c>
      <c r="H94" s="3">
        <v>3</v>
      </c>
      <c r="I94" s="3" t="s">
        <v>25</v>
      </c>
      <c r="J94" s="3">
        <v>5.92</v>
      </c>
      <c r="K94" s="3">
        <v>2.75</v>
      </c>
      <c r="L94" s="3">
        <v>1</v>
      </c>
      <c r="M94" s="3">
        <v>2.75</v>
      </c>
      <c r="N94" s="3" t="s">
        <v>17</v>
      </c>
      <c r="O94" s="3"/>
      <c r="P94">
        <f>LOG(J94/K55,2)</f>
        <v>1.106165557216928</v>
      </c>
      <c r="Q94">
        <f>P94+Q55</f>
        <v>2.3779171801518308</v>
      </c>
    </row>
    <row r="95" spans="1:17" ht="56" x14ac:dyDescent="0.15">
      <c r="A95" s="2">
        <v>45579</v>
      </c>
      <c r="B95" s="3">
        <v>14</v>
      </c>
      <c r="C95" s="3">
        <v>6</v>
      </c>
      <c r="D95" s="3" t="s">
        <v>16</v>
      </c>
      <c r="E95" s="3" t="s">
        <v>24</v>
      </c>
      <c r="F95" s="3">
        <v>1000</v>
      </c>
      <c r="G95" s="3">
        <v>0</v>
      </c>
      <c r="H95" s="3">
        <v>1</v>
      </c>
      <c r="I95" s="3" t="s">
        <v>25</v>
      </c>
      <c r="J95" s="3">
        <v>1.78</v>
      </c>
      <c r="K95" s="3">
        <v>1.78</v>
      </c>
      <c r="L95" s="3"/>
      <c r="M95" s="3"/>
      <c r="N95" s="3" t="s">
        <v>17</v>
      </c>
      <c r="O95" s="3" t="s">
        <v>35</v>
      </c>
      <c r="P95">
        <f>LOG(J95/J17,2)</f>
        <v>-0.62755437744562403</v>
      </c>
      <c r="Q95">
        <f t="shared" si="0"/>
        <v>-0.62755437744562403</v>
      </c>
    </row>
    <row r="96" spans="1:17" ht="56" x14ac:dyDescent="0.15">
      <c r="A96" s="2">
        <v>45579</v>
      </c>
      <c r="B96" s="3">
        <v>14</v>
      </c>
      <c r="C96" s="3">
        <v>6</v>
      </c>
      <c r="D96" s="3" t="s">
        <v>16</v>
      </c>
      <c r="E96" s="3" t="s">
        <v>24</v>
      </c>
      <c r="F96" s="3">
        <v>1000</v>
      </c>
      <c r="G96" s="3">
        <v>0</v>
      </c>
      <c r="H96" s="3">
        <v>2</v>
      </c>
      <c r="I96" s="3" t="s">
        <v>25</v>
      </c>
      <c r="J96" s="3">
        <v>1.84</v>
      </c>
      <c r="K96" s="3">
        <v>1.84</v>
      </c>
      <c r="L96" s="3"/>
      <c r="M96" s="3"/>
      <c r="N96" s="3" t="s">
        <v>17</v>
      </c>
      <c r="O96" s="3" t="s">
        <v>35</v>
      </c>
      <c r="P96">
        <f>LOG(J96/J18,2)</f>
        <v>-0.57972585235500917</v>
      </c>
      <c r="Q96">
        <f t="shared" si="0"/>
        <v>-0.57972585235500917</v>
      </c>
    </row>
    <row r="97" spans="1:17" ht="56" x14ac:dyDescent="0.15">
      <c r="A97" s="2">
        <v>45579</v>
      </c>
      <c r="B97" s="3">
        <v>14</v>
      </c>
      <c r="C97" s="3">
        <v>6</v>
      </c>
      <c r="D97" s="3" t="s">
        <v>16</v>
      </c>
      <c r="E97" s="3" t="s">
        <v>24</v>
      </c>
      <c r="F97" s="3">
        <v>1000</v>
      </c>
      <c r="G97" s="3">
        <v>0</v>
      </c>
      <c r="H97" s="3">
        <v>3</v>
      </c>
      <c r="I97" s="3" t="s">
        <v>25</v>
      </c>
      <c r="J97" s="3">
        <v>1.9</v>
      </c>
      <c r="K97" s="3">
        <v>1.9</v>
      </c>
      <c r="L97" s="3"/>
      <c r="M97" s="3"/>
      <c r="N97" s="3" t="s">
        <v>17</v>
      </c>
      <c r="O97" s="3" t="s">
        <v>35</v>
      </c>
      <c r="P97">
        <f>LOG(J97/J19,2)</f>
        <v>-0.53343220008107406</v>
      </c>
      <c r="Q97">
        <f t="shared" si="0"/>
        <v>-0.53343220008107406</v>
      </c>
    </row>
    <row r="98" spans="1:17" ht="14" x14ac:dyDescent="0.15">
      <c r="A98" s="2">
        <v>45579</v>
      </c>
      <c r="B98" s="3">
        <v>14</v>
      </c>
      <c r="C98" s="3">
        <v>6</v>
      </c>
      <c r="D98" s="3" t="s">
        <v>16</v>
      </c>
      <c r="E98" s="3" t="s">
        <v>27</v>
      </c>
      <c r="F98" s="3">
        <v>1250</v>
      </c>
      <c r="G98" s="3">
        <v>1250</v>
      </c>
      <c r="H98" s="3">
        <v>1</v>
      </c>
      <c r="I98" s="3" t="s">
        <v>25</v>
      </c>
      <c r="J98" s="3">
        <v>6.14</v>
      </c>
      <c r="K98" s="3">
        <v>2.75</v>
      </c>
      <c r="L98" s="3">
        <v>1</v>
      </c>
      <c r="M98" s="3">
        <v>2.75</v>
      </c>
      <c r="N98" s="3" t="s">
        <v>17</v>
      </c>
      <c r="O98" s="3"/>
      <c r="P98">
        <f>LOG(J98/K59,2)</f>
        <v>1.1588070369581571</v>
      </c>
      <c r="Q98">
        <f t="shared" si="0"/>
        <v>2.6196687185318668</v>
      </c>
    </row>
    <row r="99" spans="1:17" ht="14" x14ac:dyDescent="0.15">
      <c r="A99" s="2">
        <v>45579</v>
      </c>
      <c r="B99" s="3">
        <v>14</v>
      </c>
      <c r="C99" s="3">
        <v>6</v>
      </c>
      <c r="D99" s="3" t="s">
        <v>16</v>
      </c>
      <c r="E99" s="3" t="s">
        <v>27</v>
      </c>
      <c r="F99" s="3">
        <v>1250</v>
      </c>
      <c r="G99" s="3">
        <v>1250</v>
      </c>
      <c r="H99" s="3">
        <v>2</v>
      </c>
      <c r="I99" s="3" t="s">
        <v>25</v>
      </c>
      <c r="J99" s="3">
        <v>5.01</v>
      </c>
      <c r="K99" s="3">
        <v>2.75</v>
      </c>
      <c r="L99" s="3">
        <v>1</v>
      </c>
      <c r="M99" s="3">
        <v>2.75</v>
      </c>
      <c r="N99" s="3" t="s">
        <v>17</v>
      </c>
      <c r="O99" s="3"/>
      <c r="P99">
        <f>LOG(J99/K60,2)</f>
        <v>0.86537898478318642</v>
      </c>
      <c r="Q99">
        <f t="shared" si="0"/>
        <v>2.1544085991499244</v>
      </c>
    </row>
    <row r="100" spans="1:17" ht="14" x14ac:dyDescent="0.15">
      <c r="A100" s="2">
        <v>45579</v>
      </c>
      <c r="B100" s="3">
        <v>14</v>
      </c>
      <c r="C100" s="3">
        <v>6</v>
      </c>
      <c r="D100" s="3" t="s">
        <v>16</v>
      </c>
      <c r="E100" s="3" t="s">
        <v>27</v>
      </c>
      <c r="F100" s="3">
        <v>1250</v>
      </c>
      <c r="G100" s="3">
        <v>1250</v>
      </c>
      <c r="H100" s="3">
        <v>3</v>
      </c>
      <c r="I100" s="3" t="s">
        <v>25</v>
      </c>
      <c r="J100" s="3">
        <v>6.23</v>
      </c>
      <c r="K100" s="3">
        <v>2.75</v>
      </c>
      <c r="L100" s="3">
        <v>1</v>
      </c>
      <c r="M100" s="3">
        <v>2.75</v>
      </c>
      <c r="N100" s="3" t="s">
        <v>17</v>
      </c>
      <c r="O100" s="3"/>
      <c r="P100">
        <f>LOG(J100/K61,2)</f>
        <v>1.1798005446119801</v>
      </c>
      <c r="Q100">
        <f t="shared" si="0"/>
        <v>2.7095079333429162</v>
      </c>
    </row>
    <row r="101" spans="1:17" ht="56" x14ac:dyDescent="0.15">
      <c r="A101" s="2">
        <v>45579</v>
      </c>
      <c r="B101" s="3">
        <v>14</v>
      </c>
      <c r="C101" s="3">
        <v>6</v>
      </c>
      <c r="D101" s="3" t="s">
        <v>16</v>
      </c>
      <c r="E101" s="3" t="s">
        <v>27</v>
      </c>
      <c r="F101" s="3">
        <v>5000</v>
      </c>
      <c r="G101" s="3">
        <v>0</v>
      </c>
      <c r="H101" s="3">
        <v>1</v>
      </c>
      <c r="I101" s="3" t="s">
        <v>25</v>
      </c>
      <c r="J101" s="3">
        <v>1.08</v>
      </c>
      <c r="K101" s="3">
        <v>1.08</v>
      </c>
      <c r="L101" s="3"/>
      <c r="M101" s="3"/>
      <c r="N101" s="3" t="s">
        <v>17</v>
      </c>
      <c r="O101" s="3" t="s">
        <v>35</v>
      </c>
      <c r="P101">
        <f>LOG(J101/J23,2)</f>
        <v>-1.3484003062485534</v>
      </c>
      <c r="Q101">
        <f t="shared" si="0"/>
        <v>-1.3484003062485534</v>
      </c>
    </row>
    <row r="102" spans="1:17" ht="56" x14ac:dyDescent="0.15">
      <c r="A102" s="2">
        <v>45579</v>
      </c>
      <c r="B102" s="3">
        <v>14</v>
      </c>
      <c r="C102" s="3">
        <v>6</v>
      </c>
      <c r="D102" s="3" t="s">
        <v>16</v>
      </c>
      <c r="E102" s="3" t="s">
        <v>27</v>
      </c>
      <c r="F102" s="3">
        <v>5000</v>
      </c>
      <c r="G102" s="3">
        <v>0</v>
      </c>
      <c r="H102" s="3">
        <v>2</v>
      </c>
      <c r="I102" s="3" t="s">
        <v>25</v>
      </c>
      <c r="J102" s="3">
        <v>1.19</v>
      </c>
      <c r="K102" s="3">
        <v>1.19</v>
      </c>
      <c r="L102" s="3"/>
      <c r="M102" s="3"/>
      <c r="N102" s="3" t="s">
        <v>17</v>
      </c>
      <c r="O102" s="3" t="s">
        <v>35</v>
      </c>
      <c r="P102">
        <f>LOG(J102/J24,2)</f>
        <v>-1.2084700451040786</v>
      </c>
      <c r="Q102">
        <f t="shared" si="0"/>
        <v>-1.2084700451040786</v>
      </c>
    </row>
    <row r="103" spans="1:17" ht="56" x14ac:dyDescent="0.15">
      <c r="A103" s="2">
        <v>45579</v>
      </c>
      <c r="B103" s="3">
        <v>14</v>
      </c>
      <c r="C103" s="3">
        <v>6</v>
      </c>
      <c r="D103" s="3" t="s">
        <v>16</v>
      </c>
      <c r="E103" s="3" t="s">
        <v>27</v>
      </c>
      <c r="F103" s="3">
        <v>5000</v>
      </c>
      <c r="G103" s="3">
        <v>0</v>
      </c>
      <c r="H103" s="3">
        <v>3</v>
      </c>
      <c r="I103" s="3" t="s">
        <v>25</v>
      </c>
      <c r="J103" s="3">
        <v>1.29</v>
      </c>
      <c r="K103" s="3">
        <v>1.29</v>
      </c>
      <c r="L103" s="3"/>
      <c r="M103" s="3"/>
      <c r="N103" s="3" t="s">
        <v>17</v>
      </c>
      <c r="O103" s="3" t="s">
        <v>35</v>
      </c>
      <c r="P103">
        <f>LOG(J103/J25,2)</f>
        <v>-1.0920605529887679</v>
      </c>
      <c r="Q103">
        <f t="shared" si="0"/>
        <v>-1.0920605529887679</v>
      </c>
    </row>
    <row r="104" spans="1:17" ht="14" x14ac:dyDescent="0.15">
      <c r="A104" s="2">
        <v>45579</v>
      </c>
      <c r="B104" s="3">
        <v>14</v>
      </c>
      <c r="C104" s="3">
        <v>6</v>
      </c>
      <c r="D104" s="3" t="s">
        <v>16</v>
      </c>
      <c r="E104" s="3" t="s">
        <v>28</v>
      </c>
      <c r="F104" s="3">
        <v>1500</v>
      </c>
      <c r="G104" s="3">
        <v>1500</v>
      </c>
      <c r="H104" s="3">
        <v>1</v>
      </c>
      <c r="I104" s="3" t="s">
        <v>25</v>
      </c>
      <c r="J104" s="3">
        <v>5.03</v>
      </c>
      <c r="K104" s="3">
        <v>2.75</v>
      </c>
      <c r="L104" s="3">
        <v>1</v>
      </c>
      <c r="M104" s="3">
        <v>2.75</v>
      </c>
      <c r="N104" s="3" t="s">
        <v>17</v>
      </c>
      <c r="O104" s="3"/>
      <c r="P104">
        <f>LOG(J104/K65,2)</f>
        <v>0.87112678139350519</v>
      </c>
      <c r="Q104">
        <f t="shared" si="0"/>
        <v>2.2149221991911356</v>
      </c>
    </row>
    <row r="105" spans="1:17" ht="14" x14ac:dyDescent="0.15">
      <c r="A105" s="2">
        <v>45579</v>
      </c>
      <c r="B105" s="3">
        <v>14</v>
      </c>
      <c r="C105" s="3">
        <v>6</v>
      </c>
      <c r="D105" s="3" t="s">
        <v>16</v>
      </c>
      <c r="E105" s="3" t="s">
        <v>28</v>
      </c>
      <c r="F105" s="3">
        <v>1500</v>
      </c>
      <c r="G105" s="3">
        <v>1500</v>
      </c>
      <c r="H105" s="3">
        <v>2</v>
      </c>
      <c r="I105" s="3" t="s">
        <v>25</v>
      </c>
      <c r="J105" s="3">
        <v>5.56</v>
      </c>
      <c r="K105" s="3">
        <v>2.75</v>
      </c>
      <c r="L105" s="3">
        <v>1</v>
      </c>
      <c r="M105" s="3">
        <v>2.75</v>
      </c>
      <c r="N105" s="3" t="s">
        <v>17</v>
      </c>
      <c r="O105" s="3"/>
      <c r="P105">
        <f>LOG(J105/K66,2)</f>
        <v>1.0156532643114853</v>
      </c>
      <c r="Q105">
        <f t="shared" si="0"/>
        <v>2.0697123912623061</v>
      </c>
    </row>
    <row r="106" spans="1:17" ht="14" x14ac:dyDescent="0.15">
      <c r="A106" s="2">
        <v>45579</v>
      </c>
      <c r="B106" s="3">
        <v>14</v>
      </c>
      <c r="C106" s="3">
        <v>6</v>
      </c>
      <c r="D106" s="3" t="s">
        <v>16</v>
      </c>
      <c r="E106" s="3" t="s">
        <v>28</v>
      </c>
      <c r="F106" s="3">
        <v>1500</v>
      </c>
      <c r="G106" s="3">
        <v>1500</v>
      </c>
      <c r="H106" s="3">
        <v>3</v>
      </c>
      <c r="I106" s="3" t="s">
        <v>25</v>
      </c>
      <c r="J106" s="3">
        <v>5.39</v>
      </c>
      <c r="K106" s="3">
        <v>2.75</v>
      </c>
      <c r="L106" s="3">
        <v>1</v>
      </c>
      <c r="M106" s="3">
        <v>2.75</v>
      </c>
      <c r="N106" s="3" t="s">
        <v>17</v>
      </c>
      <c r="O106" s="3"/>
      <c r="P106">
        <f>LOG(J106/K67,2)</f>
        <v>0.97085365434048343</v>
      </c>
      <c r="Q106">
        <f t="shared" si="0"/>
        <v>2.2029562006223866</v>
      </c>
    </row>
    <row r="107" spans="1:17" ht="56" x14ac:dyDescent="0.15">
      <c r="A107" s="2">
        <v>45579</v>
      </c>
      <c r="B107" s="3">
        <v>14</v>
      </c>
      <c r="C107" s="3">
        <v>6</v>
      </c>
      <c r="D107" s="3" t="s">
        <v>16</v>
      </c>
      <c r="E107" s="3" t="s">
        <v>28</v>
      </c>
      <c r="F107" s="3">
        <v>5000</v>
      </c>
      <c r="G107" s="3">
        <v>0</v>
      </c>
      <c r="H107" s="3">
        <v>1</v>
      </c>
      <c r="I107" s="3" t="s">
        <v>25</v>
      </c>
      <c r="J107" s="3">
        <v>1.51</v>
      </c>
      <c r="K107" s="3">
        <v>1.51</v>
      </c>
      <c r="L107" s="3"/>
      <c r="M107" s="3"/>
      <c r="N107" s="3" t="s">
        <v>17</v>
      </c>
      <c r="O107" s="3" t="s">
        <v>35</v>
      </c>
      <c r="P107">
        <f>LOG(J107/J29,2)</f>
        <v>-0.86488306908694301</v>
      </c>
      <c r="Q107">
        <f t="shared" si="0"/>
        <v>-0.86488306908694301</v>
      </c>
    </row>
    <row r="108" spans="1:17" ht="56" x14ac:dyDescent="0.15">
      <c r="A108" s="2">
        <v>45579</v>
      </c>
      <c r="B108" s="3">
        <v>14</v>
      </c>
      <c r="C108" s="3">
        <v>6</v>
      </c>
      <c r="D108" s="3" t="s">
        <v>16</v>
      </c>
      <c r="E108" s="3" t="s">
        <v>28</v>
      </c>
      <c r="F108" s="3">
        <v>5000</v>
      </c>
      <c r="G108" s="3">
        <v>0</v>
      </c>
      <c r="H108" s="3">
        <v>2</v>
      </c>
      <c r="I108" s="3" t="s">
        <v>25</v>
      </c>
      <c r="J108" s="3">
        <v>1.22</v>
      </c>
      <c r="K108" s="3">
        <v>1.22</v>
      </c>
      <c r="L108" s="3"/>
      <c r="M108" s="3"/>
      <c r="N108" s="3" t="s">
        <v>17</v>
      </c>
      <c r="O108" s="3" t="s">
        <v>35</v>
      </c>
      <c r="P108">
        <f>LOG(J108/J30,2)</f>
        <v>-1.1725504708491359</v>
      </c>
      <c r="Q108">
        <f t="shared" si="0"/>
        <v>-1.1725504708491359</v>
      </c>
    </row>
    <row r="109" spans="1:17" ht="56" x14ac:dyDescent="0.15">
      <c r="A109" s="2">
        <v>45579</v>
      </c>
      <c r="B109" s="3">
        <v>14</v>
      </c>
      <c r="C109" s="3">
        <v>6</v>
      </c>
      <c r="D109" s="3" t="s">
        <v>16</v>
      </c>
      <c r="E109" s="3" t="s">
        <v>28</v>
      </c>
      <c r="F109" s="3">
        <v>5000</v>
      </c>
      <c r="G109" s="3">
        <v>0</v>
      </c>
      <c r="H109" s="3">
        <v>3</v>
      </c>
      <c r="I109" s="3" t="s">
        <v>25</v>
      </c>
      <c r="J109" s="3">
        <v>1.34</v>
      </c>
      <c r="K109" s="3">
        <v>1.34</v>
      </c>
      <c r="L109" s="3"/>
      <c r="M109" s="3"/>
      <c r="N109" s="3" t="s">
        <v>17</v>
      </c>
      <c r="O109" s="3" t="s">
        <v>35</v>
      </c>
      <c r="P109">
        <f>LOG(J109/J31,2)</f>
        <v>-1.0371986179542496</v>
      </c>
      <c r="Q109">
        <f t="shared" si="0"/>
        <v>-1.0371986179542496</v>
      </c>
    </row>
    <row r="110" spans="1:17" ht="56" x14ac:dyDescent="0.15">
      <c r="A110" s="2">
        <v>45579</v>
      </c>
      <c r="B110" s="3">
        <v>14</v>
      </c>
      <c r="C110" s="3">
        <v>6</v>
      </c>
      <c r="D110" s="3" t="s">
        <v>16</v>
      </c>
      <c r="E110" s="3" t="s">
        <v>29</v>
      </c>
      <c r="F110" s="3">
        <v>1000</v>
      </c>
      <c r="G110" s="3">
        <v>0</v>
      </c>
      <c r="H110" s="3">
        <v>1</v>
      </c>
      <c r="I110" s="3" t="s">
        <v>25</v>
      </c>
      <c r="J110" s="3">
        <v>1.32</v>
      </c>
      <c r="K110" s="3">
        <v>1.32</v>
      </c>
      <c r="L110" s="3"/>
      <c r="M110" s="3"/>
      <c r="N110" s="3" t="s">
        <v>17</v>
      </c>
      <c r="O110" s="3" t="s">
        <v>35</v>
      </c>
      <c r="Q110">
        <f t="shared" si="0"/>
        <v>0</v>
      </c>
    </row>
    <row r="111" spans="1:17" ht="56" x14ac:dyDescent="0.15">
      <c r="A111" s="2">
        <v>45579</v>
      </c>
      <c r="B111" s="3">
        <v>14</v>
      </c>
      <c r="C111" s="3">
        <v>6</v>
      </c>
      <c r="D111" s="3" t="s">
        <v>16</v>
      </c>
      <c r="E111" s="3" t="s">
        <v>29</v>
      </c>
      <c r="F111" s="3">
        <v>1000</v>
      </c>
      <c r="G111" s="3">
        <v>0</v>
      </c>
      <c r="H111" s="3">
        <v>2</v>
      </c>
      <c r="I111" s="3" t="s">
        <v>25</v>
      </c>
      <c r="J111" s="3">
        <v>1.59</v>
      </c>
      <c r="K111" s="3">
        <v>1.59</v>
      </c>
      <c r="L111" s="3"/>
      <c r="M111" s="3"/>
      <c r="N111" s="3" t="s">
        <v>17</v>
      </c>
      <c r="O111" s="3" t="s">
        <v>35</v>
      </c>
      <c r="Q111">
        <f t="shared" si="0"/>
        <v>0</v>
      </c>
    </row>
    <row r="112" spans="1:17" ht="56" x14ac:dyDescent="0.15">
      <c r="A112" s="2">
        <v>45579</v>
      </c>
      <c r="B112" s="3">
        <v>14</v>
      </c>
      <c r="C112" s="3">
        <v>6</v>
      </c>
      <c r="D112" s="3" t="s">
        <v>16</v>
      </c>
      <c r="E112" s="3" t="s">
        <v>29</v>
      </c>
      <c r="F112" s="3">
        <v>1000</v>
      </c>
      <c r="G112" s="3">
        <v>0</v>
      </c>
      <c r="H112" s="3">
        <v>3</v>
      </c>
      <c r="I112" s="3" t="s">
        <v>25</v>
      </c>
      <c r="J112" s="3">
        <v>1.48</v>
      </c>
      <c r="K112" s="3">
        <v>1.48</v>
      </c>
      <c r="L112" s="3"/>
      <c r="M112" s="3"/>
      <c r="N112" s="3" t="s">
        <v>17</v>
      </c>
      <c r="O112" s="3" t="s">
        <v>35</v>
      </c>
      <c r="Q112">
        <f t="shared" si="0"/>
        <v>0</v>
      </c>
    </row>
    <row r="113" spans="1:17" ht="56" x14ac:dyDescent="0.15">
      <c r="A113" s="2">
        <v>45579</v>
      </c>
      <c r="B113" s="3">
        <v>14</v>
      </c>
      <c r="C113" s="3">
        <v>6</v>
      </c>
      <c r="D113" s="3" t="s">
        <v>16</v>
      </c>
      <c r="E113" s="3" t="s">
        <v>29</v>
      </c>
      <c r="F113" s="3">
        <v>2500</v>
      </c>
      <c r="G113" s="3">
        <v>0</v>
      </c>
      <c r="H113" s="3">
        <v>1</v>
      </c>
      <c r="I113" s="3" t="s">
        <v>25</v>
      </c>
      <c r="J113" s="3">
        <v>1.59</v>
      </c>
      <c r="K113" s="3">
        <v>1.59</v>
      </c>
      <c r="L113" s="3"/>
      <c r="M113" s="3"/>
      <c r="N113" s="3" t="s">
        <v>17</v>
      </c>
      <c r="O113" s="3" t="s">
        <v>35</v>
      </c>
      <c r="Q113">
        <f t="shared" si="0"/>
        <v>0</v>
      </c>
    </row>
    <row r="114" spans="1:17" ht="56" x14ac:dyDescent="0.15">
      <c r="A114" s="2">
        <v>45579</v>
      </c>
      <c r="B114" s="3">
        <v>14</v>
      </c>
      <c r="C114" s="3">
        <v>6</v>
      </c>
      <c r="D114" s="3" t="s">
        <v>16</v>
      </c>
      <c r="E114" s="3" t="s">
        <v>29</v>
      </c>
      <c r="F114" s="3">
        <v>2500</v>
      </c>
      <c r="G114" s="3">
        <v>0</v>
      </c>
      <c r="H114" s="3">
        <v>2</v>
      </c>
      <c r="I114" s="3" t="s">
        <v>25</v>
      </c>
      <c r="J114" s="3">
        <v>1.28</v>
      </c>
      <c r="K114" s="3">
        <v>1.28</v>
      </c>
      <c r="L114" s="3"/>
      <c r="M114" s="3"/>
      <c r="N114" s="3" t="s">
        <v>17</v>
      </c>
      <c r="O114" s="3" t="s">
        <v>35</v>
      </c>
      <c r="Q114">
        <f t="shared" si="0"/>
        <v>0</v>
      </c>
    </row>
    <row r="115" spans="1:17" ht="56" x14ac:dyDescent="0.15">
      <c r="A115" s="2">
        <v>45579</v>
      </c>
      <c r="B115" s="3">
        <v>14</v>
      </c>
      <c r="C115" s="3">
        <v>6</v>
      </c>
      <c r="D115" s="3" t="s">
        <v>16</v>
      </c>
      <c r="E115" s="3" t="s">
        <v>29</v>
      </c>
      <c r="F115" s="3">
        <v>2500</v>
      </c>
      <c r="G115" s="3">
        <v>0</v>
      </c>
      <c r="H115" s="3">
        <v>3</v>
      </c>
      <c r="I115" s="3" t="s">
        <v>25</v>
      </c>
      <c r="J115" s="3">
        <v>1.1599999999999999</v>
      </c>
      <c r="K115" s="3">
        <v>1.1599999999999999</v>
      </c>
      <c r="L115" s="3"/>
      <c r="M115" s="3"/>
      <c r="N115" s="3" t="s">
        <v>17</v>
      </c>
      <c r="O115" s="3" t="s">
        <v>35</v>
      </c>
      <c r="Q115">
        <f t="shared" si="0"/>
        <v>0</v>
      </c>
    </row>
    <row r="116" spans="1:17" ht="14" x14ac:dyDescent="0.15">
      <c r="A116" s="2">
        <v>45579</v>
      </c>
      <c r="B116" s="3">
        <v>14</v>
      </c>
      <c r="C116" s="3">
        <v>6</v>
      </c>
      <c r="D116" s="3" t="s">
        <v>16</v>
      </c>
      <c r="E116" s="3" t="s">
        <v>30</v>
      </c>
      <c r="F116" s="3">
        <v>2000</v>
      </c>
      <c r="G116" s="3">
        <v>2000</v>
      </c>
      <c r="H116" s="3">
        <v>1</v>
      </c>
      <c r="I116" s="3" t="s">
        <v>25</v>
      </c>
      <c r="J116" s="3">
        <v>4.6100000000000003</v>
      </c>
      <c r="K116" s="3">
        <v>2.75</v>
      </c>
      <c r="L116" s="3">
        <v>1</v>
      </c>
      <c r="M116" s="3">
        <v>2.75</v>
      </c>
      <c r="N116" s="3" t="s">
        <v>17</v>
      </c>
      <c r="O116" s="3"/>
      <c r="P116">
        <f>LOG(J116/K77,2)</f>
        <v>0.74533513201731627</v>
      </c>
      <c r="Q116">
        <f t="shared" si="0"/>
        <v>2.4102316483822208</v>
      </c>
    </row>
    <row r="117" spans="1:17" ht="14" x14ac:dyDescent="0.15">
      <c r="A117" s="2">
        <v>45579</v>
      </c>
      <c r="B117" s="3">
        <v>14</v>
      </c>
      <c r="C117" s="3">
        <v>6</v>
      </c>
      <c r="D117" s="3" t="s">
        <v>16</v>
      </c>
      <c r="E117" s="3" t="s">
        <v>30</v>
      </c>
      <c r="F117" s="3">
        <v>2000</v>
      </c>
      <c r="G117" s="3">
        <v>2000</v>
      </c>
      <c r="H117" s="3">
        <v>2</v>
      </c>
      <c r="I117" s="3" t="s">
        <v>25</v>
      </c>
      <c r="J117" s="3">
        <v>4.66</v>
      </c>
      <c r="K117" s="3">
        <v>2.75</v>
      </c>
      <c r="L117" s="3">
        <v>1</v>
      </c>
      <c r="M117" s="3">
        <v>2.75</v>
      </c>
      <c r="N117" s="3" t="s">
        <v>17</v>
      </c>
      <c r="O117" s="3"/>
      <c r="P117">
        <f>LOG(J117/K78,2)</f>
        <v>0.76089833624225822</v>
      </c>
      <c r="Q117">
        <f t="shared" si="0"/>
        <v>2.4091545869193345</v>
      </c>
    </row>
    <row r="118" spans="1:17" ht="14" x14ac:dyDescent="0.15">
      <c r="A118" s="2">
        <v>45579</v>
      </c>
      <c r="B118" s="3">
        <v>14</v>
      </c>
      <c r="C118" s="3">
        <v>6</v>
      </c>
      <c r="D118" s="3" t="s">
        <v>16</v>
      </c>
      <c r="E118" s="3" t="s">
        <v>30</v>
      </c>
      <c r="F118" s="3">
        <v>2000</v>
      </c>
      <c r="G118" s="3">
        <v>2000</v>
      </c>
      <c r="H118" s="3">
        <v>3</v>
      </c>
      <c r="I118" s="3" t="s">
        <v>25</v>
      </c>
      <c r="J118" s="3">
        <v>5.48</v>
      </c>
      <c r="K118" s="3">
        <v>2.75</v>
      </c>
      <c r="L118" s="3">
        <v>1</v>
      </c>
      <c r="M118" s="3">
        <v>2.75</v>
      </c>
      <c r="N118" s="3" t="s">
        <v>17</v>
      </c>
      <c r="O118" s="3"/>
      <c r="P118">
        <f>LOG(J118/K79,2)</f>
        <v>0.99474427454850489</v>
      </c>
      <c r="Q118">
        <f t="shared" ref="Q118:Q181" si="3">P118+Q79</f>
        <v>2.3952822041322337</v>
      </c>
    </row>
    <row r="119" spans="1:17" ht="56" x14ac:dyDescent="0.15">
      <c r="A119" s="2">
        <v>45579</v>
      </c>
      <c r="B119" s="3">
        <v>14</v>
      </c>
      <c r="C119" s="3">
        <v>6</v>
      </c>
      <c r="D119" s="3" t="s">
        <v>16</v>
      </c>
      <c r="E119" s="3" t="s">
        <v>30</v>
      </c>
      <c r="F119" s="3">
        <v>15000</v>
      </c>
      <c r="G119" s="3">
        <v>0</v>
      </c>
      <c r="H119" s="3">
        <v>1</v>
      </c>
      <c r="I119" s="3" t="s">
        <v>25</v>
      </c>
      <c r="J119" s="3">
        <v>2.41</v>
      </c>
      <c r="K119" s="3">
        <v>2.41</v>
      </c>
      <c r="L119" s="3"/>
      <c r="M119" s="3"/>
      <c r="N119" s="3" t="s">
        <v>17</v>
      </c>
      <c r="O119" s="3" t="s">
        <v>35</v>
      </c>
      <c r="P119">
        <f>LOG(J119/J41,2)</f>
        <v>-0.19039847218206021</v>
      </c>
      <c r="Q119">
        <f t="shared" si="3"/>
        <v>-0.19039847218206021</v>
      </c>
    </row>
    <row r="120" spans="1:17" ht="56" x14ac:dyDescent="0.15">
      <c r="A120" s="2">
        <v>45579</v>
      </c>
      <c r="B120" s="3">
        <v>14</v>
      </c>
      <c r="C120" s="3">
        <v>6</v>
      </c>
      <c r="D120" s="3" t="s">
        <v>16</v>
      </c>
      <c r="E120" s="3" t="s">
        <v>30</v>
      </c>
      <c r="F120" s="3">
        <v>15000</v>
      </c>
      <c r="G120" s="3">
        <v>0</v>
      </c>
      <c r="H120" s="3">
        <v>2</v>
      </c>
      <c r="I120" s="3" t="s">
        <v>25</v>
      </c>
      <c r="J120" s="3">
        <v>2.4900000000000002</v>
      </c>
      <c r="K120" s="3">
        <v>2.4900000000000002</v>
      </c>
      <c r="L120" s="3"/>
      <c r="M120" s="3"/>
      <c r="N120" s="3" t="s">
        <v>17</v>
      </c>
      <c r="O120" s="3" t="s">
        <v>35</v>
      </c>
      <c r="P120">
        <f>LOG(J120/J42,2)</f>
        <v>-0.14328587634394094</v>
      </c>
      <c r="Q120">
        <f t="shared" si="3"/>
        <v>-0.14328587634394094</v>
      </c>
    </row>
    <row r="121" spans="1:17" ht="56" x14ac:dyDescent="0.15">
      <c r="A121" s="2">
        <v>45579</v>
      </c>
      <c r="B121" s="3">
        <v>14</v>
      </c>
      <c r="C121" s="3">
        <v>6</v>
      </c>
      <c r="D121" s="3" t="s">
        <v>16</v>
      </c>
      <c r="E121" s="3" t="s">
        <v>30</v>
      </c>
      <c r="F121" s="3">
        <v>15000</v>
      </c>
      <c r="G121" s="3">
        <v>0</v>
      </c>
      <c r="H121" s="3">
        <v>3</v>
      </c>
      <c r="I121" s="3" t="s">
        <v>25</v>
      </c>
      <c r="J121" s="3">
        <v>2.63</v>
      </c>
      <c r="K121" s="3">
        <v>2.63</v>
      </c>
      <c r="L121" s="3"/>
      <c r="M121" s="3"/>
      <c r="N121" s="3" t="s">
        <v>17</v>
      </c>
      <c r="O121" s="3" t="s">
        <v>35</v>
      </c>
      <c r="P121">
        <f>LOG(J121/J43,2)</f>
        <v>-6.43688191197197E-2</v>
      </c>
      <c r="Q121">
        <f t="shared" si="3"/>
        <v>-6.43688191197197E-2</v>
      </c>
    </row>
    <row r="122" spans="1:17" ht="14" x14ac:dyDescent="0.15">
      <c r="A122" s="2">
        <v>45579</v>
      </c>
      <c r="B122" s="3">
        <v>14</v>
      </c>
      <c r="C122" s="3">
        <v>6</v>
      </c>
      <c r="D122" s="3" t="s">
        <v>16</v>
      </c>
      <c r="E122" s="3" t="s">
        <v>31</v>
      </c>
      <c r="F122" s="3">
        <v>4000</v>
      </c>
      <c r="G122" s="3">
        <v>4000</v>
      </c>
      <c r="H122" s="3">
        <v>1</v>
      </c>
      <c r="I122" s="3" t="s">
        <v>25</v>
      </c>
      <c r="J122" s="3">
        <v>5.81</v>
      </c>
      <c r="K122" s="3">
        <v>2.75</v>
      </c>
      <c r="L122" s="3">
        <v>1</v>
      </c>
      <c r="M122" s="3">
        <v>2.75</v>
      </c>
      <c r="N122" s="3" t="s">
        <v>17</v>
      </c>
      <c r="O122" s="3"/>
      <c r="P122">
        <f t="shared" ref="P122:P133" si="4">LOG(J122/K83,2)</f>
        <v>1.079106544992507</v>
      </c>
      <c r="Q122">
        <f t="shared" si="3"/>
        <v>2.6814511239418994</v>
      </c>
    </row>
    <row r="123" spans="1:17" ht="14" x14ac:dyDescent="0.15">
      <c r="A123" s="2">
        <v>45579</v>
      </c>
      <c r="B123" s="3">
        <v>14</v>
      </c>
      <c r="C123" s="3">
        <v>6</v>
      </c>
      <c r="D123" s="3" t="s">
        <v>16</v>
      </c>
      <c r="E123" s="3" t="s">
        <v>31</v>
      </c>
      <c r="F123" s="3">
        <v>4000</v>
      </c>
      <c r="G123" s="3">
        <v>4000</v>
      </c>
      <c r="H123" s="3">
        <v>2</v>
      </c>
      <c r="I123" s="3" t="s">
        <v>25</v>
      </c>
      <c r="J123" s="3">
        <v>5.46</v>
      </c>
      <c r="K123" s="3">
        <v>2.75</v>
      </c>
      <c r="L123" s="3">
        <v>1</v>
      </c>
      <c r="M123" s="3">
        <v>2.75</v>
      </c>
      <c r="N123" s="3" t="s">
        <v>17</v>
      </c>
      <c r="O123" s="3"/>
      <c r="P123">
        <f t="shared" si="4"/>
        <v>0.98946933250783042</v>
      </c>
      <c r="Q123">
        <f t="shared" si="3"/>
        <v>2.6377255831849067</v>
      </c>
    </row>
    <row r="124" spans="1:17" ht="14" x14ac:dyDescent="0.15">
      <c r="A124" s="2">
        <v>45579</v>
      </c>
      <c r="B124" s="3">
        <v>14</v>
      </c>
      <c r="C124" s="3">
        <v>6</v>
      </c>
      <c r="D124" s="3" t="s">
        <v>16</v>
      </c>
      <c r="E124" s="3" t="s">
        <v>31</v>
      </c>
      <c r="F124" s="3">
        <v>4000</v>
      </c>
      <c r="G124" s="3">
        <v>4000</v>
      </c>
      <c r="H124" s="3">
        <v>3</v>
      </c>
      <c r="I124" s="3" t="s">
        <v>25</v>
      </c>
      <c r="J124" s="3">
        <v>6.25</v>
      </c>
      <c r="K124" s="3">
        <v>2.75</v>
      </c>
      <c r="L124" s="3">
        <v>1</v>
      </c>
      <c r="M124" s="3">
        <v>2.75</v>
      </c>
      <c r="N124" s="3" t="s">
        <v>17</v>
      </c>
      <c r="O124" s="3"/>
      <c r="P124">
        <f t="shared" si="4"/>
        <v>1.1844245711374277</v>
      </c>
      <c r="Q124">
        <f t="shared" si="3"/>
        <v>2.5849625007211565</v>
      </c>
    </row>
    <row r="125" spans="1:17" ht="14" x14ac:dyDescent="0.15">
      <c r="A125" s="2">
        <v>45579</v>
      </c>
      <c r="B125" s="3">
        <v>14</v>
      </c>
      <c r="C125" s="3">
        <v>6</v>
      </c>
      <c r="D125" s="3" t="s">
        <v>16</v>
      </c>
      <c r="E125" s="3" t="s">
        <v>31</v>
      </c>
      <c r="F125" s="3">
        <v>8000</v>
      </c>
      <c r="G125" s="3">
        <v>8000</v>
      </c>
      <c r="H125" s="3">
        <v>1</v>
      </c>
      <c r="I125" s="3" t="s">
        <v>25</v>
      </c>
      <c r="J125" s="3">
        <v>5.27</v>
      </c>
      <c r="K125" s="3">
        <v>2.75</v>
      </c>
      <c r="L125" s="3">
        <v>1</v>
      </c>
      <c r="M125" s="3">
        <v>2.75</v>
      </c>
      <c r="N125" s="3" t="s">
        <v>17</v>
      </c>
      <c r="O125" s="3"/>
      <c r="P125">
        <f t="shared" si="4"/>
        <v>0.93837134322519267</v>
      </c>
      <c r="Q125">
        <f t="shared" si="3"/>
        <v>2.2883541688237941</v>
      </c>
    </row>
    <row r="126" spans="1:17" ht="14" x14ac:dyDescent="0.15">
      <c r="A126" s="2">
        <v>45579</v>
      </c>
      <c r="B126" s="3">
        <v>14</v>
      </c>
      <c r="C126" s="3">
        <v>6</v>
      </c>
      <c r="D126" s="3" t="s">
        <v>16</v>
      </c>
      <c r="E126" s="3" t="s">
        <v>31</v>
      </c>
      <c r="F126" s="3">
        <v>8000</v>
      </c>
      <c r="G126" s="3">
        <v>8000</v>
      </c>
      <c r="H126" s="3">
        <v>2</v>
      </c>
      <c r="I126" s="3" t="s">
        <v>25</v>
      </c>
      <c r="J126" s="3">
        <v>4.38</v>
      </c>
      <c r="K126" s="3">
        <v>2.75</v>
      </c>
      <c r="L126" s="3">
        <v>1</v>
      </c>
      <c r="M126" s="3">
        <v>2.75</v>
      </c>
      <c r="N126" s="3" t="s">
        <v>17</v>
      </c>
      <c r="O126" s="3"/>
      <c r="P126">
        <f t="shared" si="4"/>
        <v>0.67149925118915144</v>
      </c>
      <c r="Q126">
        <f t="shared" si="3"/>
        <v>2.0858808309109413</v>
      </c>
    </row>
    <row r="127" spans="1:17" ht="14" x14ac:dyDescent="0.15">
      <c r="A127" s="2">
        <v>45579</v>
      </c>
      <c r="B127" s="3">
        <v>14</v>
      </c>
      <c r="C127" s="3">
        <v>6</v>
      </c>
      <c r="D127" s="3" t="s">
        <v>16</v>
      </c>
      <c r="E127" s="3" t="s">
        <v>31</v>
      </c>
      <c r="F127" s="3">
        <v>8000</v>
      </c>
      <c r="G127" s="3">
        <v>8000</v>
      </c>
      <c r="H127" s="3">
        <v>3</v>
      </c>
      <c r="I127" s="3" t="s">
        <v>25</v>
      </c>
      <c r="J127" s="3">
        <v>4.7699999999999996</v>
      </c>
      <c r="K127" s="3">
        <v>2.75</v>
      </c>
      <c r="L127" s="3">
        <v>1</v>
      </c>
      <c r="M127" s="3">
        <v>2.75</v>
      </c>
      <c r="N127" s="3" t="s">
        <v>17</v>
      </c>
      <c r="O127" s="3"/>
      <c r="P127">
        <f t="shared" si="4"/>
        <v>0.79455764759348957</v>
      </c>
      <c r="Q127">
        <f t="shared" si="3"/>
        <v>2.1258980668181922</v>
      </c>
    </row>
    <row r="128" spans="1:17" ht="14" x14ac:dyDescent="0.15">
      <c r="A128" s="2">
        <v>45579</v>
      </c>
      <c r="B128" s="3">
        <v>14</v>
      </c>
      <c r="C128" s="3">
        <v>6</v>
      </c>
      <c r="D128" s="3" t="s">
        <v>16</v>
      </c>
      <c r="E128" s="3" t="s">
        <v>32</v>
      </c>
      <c r="F128" s="5">
        <v>0.01</v>
      </c>
      <c r="G128" s="5">
        <v>0.01</v>
      </c>
      <c r="H128" s="3">
        <v>1</v>
      </c>
      <c r="I128" s="3" t="s">
        <v>25</v>
      </c>
      <c r="J128" s="3">
        <v>7.48</v>
      </c>
      <c r="K128" s="3">
        <v>2.75</v>
      </c>
      <c r="L128" s="3">
        <v>1</v>
      </c>
      <c r="M128" s="3">
        <v>2.75</v>
      </c>
      <c r="N128" s="3" t="s">
        <v>17</v>
      </c>
      <c r="O128" s="3"/>
      <c r="P128">
        <f t="shared" si="4"/>
        <v>1.4436066514756147</v>
      </c>
      <c r="Q128">
        <f t="shared" si="3"/>
        <v>3.3626866560920474</v>
      </c>
    </row>
    <row r="129" spans="1:17" ht="14" x14ac:dyDescent="0.15">
      <c r="A129" s="2">
        <v>45579</v>
      </c>
      <c r="B129" s="3">
        <v>14</v>
      </c>
      <c r="C129" s="3">
        <v>6</v>
      </c>
      <c r="D129" s="3" t="s">
        <v>16</v>
      </c>
      <c r="E129" s="3" t="s">
        <v>32</v>
      </c>
      <c r="F129" s="5">
        <v>0.01</v>
      </c>
      <c r="G129" s="5">
        <v>0.01</v>
      </c>
      <c r="H129" s="3">
        <v>2</v>
      </c>
      <c r="I129" s="3" t="s">
        <v>25</v>
      </c>
      <c r="J129" s="3">
        <v>6.66</v>
      </c>
      <c r="K129" s="3">
        <v>2.75</v>
      </c>
      <c r="L129" s="3">
        <v>1</v>
      </c>
      <c r="M129" s="3">
        <v>2.75</v>
      </c>
      <c r="N129" s="3" t="s">
        <v>17</v>
      </c>
      <c r="O129" s="3"/>
      <c r="P129">
        <f t="shared" si="4"/>
        <v>1.2760905586592401</v>
      </c>
      <c r="Q129">
        <f t="shared" si="3"/>
        <v>2.9865839414642554</v>
      </c>
    </row>
    <row r="130" spans="1:17" ht="14" x14ac:dyDescent="0.15">
      <c r="A130" s="2">
        <v>45579</v>
      </c>
      <c r="B130" s="3">
        <v>14</v>
      </c>
      <c r="C130" s="3">
        <v>6</v>
      </c>
      <c r="D130" s="3" t="s">
        <v>16</v>
      </c>
      <c r="E130" s="3" t="s">
        <v>32</v>
      </c>
      <c r="F130" s="5">
        <v>0.01</v>
      </c>
      <c r="G130" s="5">
        <v>0.01</v>
      </c>
      <c r="H130" s="3">
        <v>3</v>
      </c>
      <c r="I130" s="3" t="s">
        <v>25</v>
      </c>
      <c r="J130" s="3">
        <v>5.55</v>
      </c>
      <c r="K130" s="3">
        <v>2.75</v>
      </c>
      <c r="L130" s="3">
        <v>1</v>
      </c>
      <c r="M130" s="3">
        <v>2.75</v>
      </c>
      <c r="N130" s="3" t="s">
        <v>17</v>
      </c>
      <c r="O130" s="3"/>
      <c r="P130">
        <f t="shared" si="4"/>
        <v>1.0130561528254463</v>
      </c>
      <c r="Q130">
        <f t="shared" si="3"/>
        <v>2.8552121807913355</v>
      </c>
    </row>
    <row r="131" spans="1:17" ht="14" x14ac:dyDescent="0.15">
      <c r="A131" s="2">
        <v>45582</v>
      </c>
      <c r="B131" s="3">
        <v>17</v>
      </c>
      <c r="C131" s="3">
        <v>9</v>
      </c>
      <c r="D131" s="3" t="s">
        <v>16</v>
      </c>
      <c r="E131" s="3" t="s">
        <v>24</v>
      </c>
      <c r="F131" s="3">
        <v>100</v>
      </c>
      <c r="G131" s="3">
        <v>100</v>
      </c>
      <c r="H131" s="3">
        <v>1</v>
      </c>
      <c r="I131" s="3" t="s">
        <v>25</v>
      </c>
      <c r="J131" s="3">
        <v>5.67</v>
      </c>
      <c r="K131" s="3">
        <v>2.75</v>
      </c>
      <c r="L131" s="3">
        <v>1</v>
      </c>
      <c r="M131" s="3">
        <v>2.75</v>
      </c>
      <c r="N131" s="3" t="s">
        <v>17</v>
      </c>
      <c r="O131" s="3"/>
      <c r="P131">
        <f t="shared" si="4"/>
        <v>1.043917116530207</v>
      </c>
      <c r="Q131">
        <f t="shared" si="3"/>
        <v>3.3347489735309308</v>
      </c>
    </row>
    <row r="132" spans="1:17" ht="14" x14ac:dyDescent="0.15">
      <c r="A132" s="2">
        <v>45582</v>
      </c>
      <c r="B132" s="3">
        <v>17</v>
      </c>
      <c r="C132" s="3">
        <v>9</v>
      </c>
      <c r="D132" s="3" t="s">
        <v>16</v>
      </c>
      <c r="E132" s="3" t="s">
        <v>24</v>
      </c>
      <c r="F132" s="3">
        <v>100</v>
      </c>
      <c r="G132" s="3">
        <v>100</v>
      </c>
      <c r="H132" s="3">
        <v>2</v>
      </c>
      <c r="I132" s="3" t="s">
        <v>25</v>
      </c>
      <c r="J132" s="3">
        <v>5.49</v>
      </c>
      <c r="K132" s="3">
        <v>2.75</v>
      </c>
      <c r="L132" s="3">
        <v>1</v>
      </c>
      <c r="M132" s="3">
        <v>2.75</v>
      </c>
      <c r="N132" s="3" t="s">
        <v>17</v>
      </c>
      <c r="O132" s="3"/>
      <c r="P132">
        <f t="shared" si="4"/>
        <v>0.99737453059317671</v>
      </c>
      <c r="Q132">
        <f t="shared" si="3"/>
        <v>3.0576860853740522</v>
      </c>
    </row>
    <row r="133" spans="1:17" ht="14" x14ac:dyDescent="0.15">
      <c r="A133" s="2">
        <v>45582</v>
      </c>
      <c r="B133" s="3">
        <v>17</v>
      </c>
      <c r="C133" s="3">
        <v>9</v>
      </c>
      <c r="D133" s="3" t="s">
        <v>16</v>
      </c>
      <c r="E133" s="3" t="s">
        <v>24</v>
      </c>
      <c r="F133" s="3">
        <v>100</v>
      </c>
      <c r="G133" s="3">
        <v>100</v>
      </c>
      <c r="H133" s="3">
        <v>3</v>
      </c>
      <c r="I133" s="3" t="s">
        <v>25</v>
      </c>
      <c r="J133" s="3">
        <v>5.95</v>
      </c>
      <c r="K133" s="3">
        <v>2.75</v>
      </c>
      <c r="L133" s="3">
        <v>1</v>
      </c>
      <c r="M133" s="3">
        <v>2.75</v>
      </c>
      <c r="N133" s="3" t="s">
        <v>17</v>
      </c>
      <c r="O133" s="3"/>
      <c r="P133">
        <f t="shared" si="4"/>
        <v>1.113458049783284</v>
      </c>
      <c r="Q133">
        <f t="shared" si="3"/>
        <v>3.4913752299351151</v>
      </c>
    </row>
    <row r="134" spans="1:17" ht="14" x14ac:dyDescent="0.15">
      <c r="A134" s="2">
        <v>45582</v>
      </c>
      <c r="B134" s="3">
        <v>17</v>
      </c>
      <c r="C134" s="3">
        <v>9</v>
      </c>
      <c r="D134" s="3" t="s">
        <v>16</v>
      </c>
      <c r="E134" s="3" t="s">
        <v>24</v>
      </c>
      <c r="F134" s="3">
        <v>1000</v>
      </c>
      <c r="G134" s="3">
        <v>0</v>
      </c>
      <c r="H134" s="3">
        <v>1</v>
      </c>
      <c r="I134" s="3" t="s">
        <v>25</v>
      </c>
      <c r="J134" s="3" t="s">
        <v>17</v>
      </c>
      <c r="K134" s="3"/>
      <c r="L134" s="3"/>
      <c r="M134" s="3"/>
      <c r="N134" s="3" t="s">
        <v>17</v>
      </c>
      <c r="O134" s="3"/>
      <c r="Q134">
        <f t="shared" si="3"/>
        <v>-0.62755437744562403</v>
      </c>
    </row>
    <row r="135" spans="1:17" ht="14" x14ac:dyDescent="0.15">
      <c r="A135" s="2">
        <v>45582</v>
      </c>
      <c r="B135" s="3">
        <v>17</v>
      </c>
      <c r="C135" s="3">
        <v>9</v>
      </c>
      <c r="D135" s="3" t="s">
        <v>16</v>
      </c>
      <c r="E135" s="3" t="s">
        <v>24</v>
      </c>
      <c r="F135" s="3">
        <v>1000</v>
      </c>
      <c r="G135" s="3">
        <v>0</v>
      </c>
      <c r="H135" s="3">
        <v>2</v>
      </c>
      <c r="I135" s="3" t="s">
        <v>25</v>
      </c>
      <c r="J135" s="3" t="s">
        <v>17</v>
      </c>
      <c r="K135" s="3"/>
      <c r="L135" s="3"/>
      <c r="M135" s="3"/>
      <c r="N135" s="3" t="s">
        <v>17</v>
      </c>
      <c r="O135" s="3"/>
      <c r="Q135">
        <f t="shared" si="3"/>
        <v>-0.57972585235500917</v>
      </c>
    </row>
    <row r="136" spans="1:17" ht="14" x14ac:dyDescent="0.15">
      <c r="A136" s="2">
        <v>45582</v>
      </c>
      <c r="B136" s="3">
        <v>17</v>
      </c>
      <c r="C136" s="3">
        <v>9</v>
      </c>
      <c r="D136" s="3" t="s">
        <v>16</v>
      </c>
      <c r="E136" s="3" t="s">
        <v>24</v>
      </c>
      <c r="F136" s="3">
        <v>1000</v>
      </c>
      <c r="G136" s="3">
        <v>0</v>
      </c>
      <c r="H136" s="3">
        <v>3</v>
      </c>
      <c r="I136" s="3" t="s">
        <v>25</v>
      </c>
      <c r="J136" s="3" t="s">
        <v>17</v>
      </c>
      <c r="K136" s="3"/>
      <c r="L136" s="3"/>
      <c r="M136" s="3"/>
      <c r="N136" s="3" t="s">
        <v>17</v>
      </c>
      <c r="O136" s="3"/>
      <c r="Q136">
        <f t="shared" si="3"/>
        <v>-0.53343220008107406</v>
      </c>
    </row>
    <row r="137" spans="1:17" ht="14" x14ac:dyDescent="0.15">
      <c r="A137" s="2">
        <v>45582</v>
      </c>
      <c r="B137" s="3">
        <v>17</v>
      </c>
      <c r="C137" s="3">
        <v>9</v>
      </c>
      <c r="D137" s="3" t="s">
        <v>16</v>
      </c>
      <c r="E137" s="3" t="s">
        <v>27</v>
      </c>
      <c r="F137" s="3">
        <v>1250</v>
      </c>
      <c r="G137" s="3">
        <v>1250</v>
      </c>
      <c r="H137" s="3">
        <v>1</v>
      </c>
      <c r="I137" s="3" t="s">
        <v>25</v>
      </c>
      <c r="J137" s="3">
        <v>6.14</v>
      </c>
      <c r="K137" s="3">
        <v>2.75</v>
      </c>
      <c r="L137" s="3">
        <v>1</v>
      </c>
      <c r="M137" s="3">
        <v>2.75</v>
      </c>
      <c r="N137" s="3" t="s">
        <v>17</v>
      </c>
      <c r="O137" s="3"/>
      <c r="P137">
        <f>LOG(J137/K98,2)</f>
        <v>1.1588070369581571</v>
      </c>
      <c r="Q137">
        <f t="shared" si="3"/>
        <v>3.7784757554900237</v>
      </c>
    </row>
    <row r="138" spans="1:17" ht="14" x14ac:dyDescent="0.15">
      <c r="A138" s="2">
        <v>45582</v>
      </c>
      <c r="B138" s="3">
        <v>17</v>
      </c>
      <c r="C138" s="3">
        <v>9</v>
      </c>
      <c r="D138" s="3" t="s">
        <v>16</v>
      </c>
      <c r="E138" s="3" t="s">
        <v>27</v>
      </c>
      <c r="F138" s="3">
        <v>1250</v>
      </c>
      <c r="G138" s="3">
        <v>1250</v>
      </c>
      <c r="H138" s="3">
        <v>2</v>
      </c>
      <c r="I138" s="3" t="s">
        <v>25</v>
      </c>
      <c r="J138" s="3">
        <v>6.19</v>
      </c>
      <c r="K138" s="3">
        <v>2.75</v>
      </c>
      <c r="L138" s="3">
        <v>1</v>
      </c>
      <c r="M138" s="3">
        <v>2.75</v>
      </c>
      <c r="N138" s="3" t="s">
        <v>17</v>
      </c>
      <c r="O138" s="3"/>
      <c r="P138">
        <f>LOG(J138/K99,2)</f>
        <v>1.1705077908022428</v>
      </c>
      <c r="Q138">
        <f t="shared" si="3"/>
        <v>3.3249163899521674</v>
      </c>
    </row>
    <row r="139" spans="1:17" ht="14" x14ac:dyDescent="0.15">
      <c r="A139" s="2">
        <v>45582</v>
      </c>
      <c r="B139" s="3">
        <v>17</v>
      </c>
      <c r="C139" s="3">
        <v>9</v>
      </c>
      <c r="D139" s="3" t="s">
        <v>16</v>
      </c>
      <c r="E139" s="3" t="s">
        <v>27</v>
      </c>
      <c r="F139" s="3">
        <v>1250</v>
      </c>
      <c r="G139" s="3">
        <v>1250</v>
      </c>
      <c r="H139" s="3">
        <v>3</v>
      </c>
      <c r="I139" s="3" t="s">
        <v>25</v>
      </c>
      <c r="J139" s="3">
        <v>5.9</v>
      </c>
      <c r="K139" s="3">
        <v>2.75</v>
      </c>
      <c r="L139" s="3">
        <v>1</v>
      </c>
      <c r="M139" s="3">
        <v>2.75</v>
      </c>
      <c r="N139" s="3" t="s">
        <v>17</v>
      </c>
      <c r="O139" s="3"/>
      <c r="P139">
        <f>LOG(J139/K100,2)</f>
        <v>1.1012833358371816</v>
      </c>
      <c r="Q139">
        <f t="shared" si="3"/>
        <v>3.8107912691800978</v>
      </c>
    </row>
    <row r="140" spans="1:17" ht="14" x14ac:dyDescent="0.15">
      <c r="A140" s="2">
        <v>45582</v>
      </c>
      <c r="B140" s="3">
        <v>17</v>
      </c>
      <c r="C140" s="3">
        <v>9</v>
      </c>
      <c r="D140" s="3" t="s">
        <v>16</v>
      </c>
      <c r="E140" s="3" t="s">
        <v>27</v>
      </c>
      <c r="F140" s="3">
        <v>5000</v>
      </c>
      <c r="G140" s="3">
        <v>0</v>
      </c>
      <c r="H140" s="3">
        <v>1</v>
      </c>
      <c r="I140" s="3" t="s">
        <v>25</v>
      </c>
      <c r="J140" s="3" t="s">
        <v>17</v>
      </c>
      <c r="K140" s="3"/>
      <c r="L140" s="3"/>
      <c r="M140" s="3"/>
      <c r="N140" s="3" t="s">
        <v>17</v>
      </c>
      <c r="O140" s="3"/>
      <c r="Q140">
        <f t="shared" si="3"/>
        <v>-1.3484003062485534</v>
      </c>
    </row>
    <row r="141" spans="1:17" ht="14" x14ac:dyDescent="0.15">
      <c r="A141" s="2">
        <v>45582</v>
      </c>
      <c r="B141" s="3">
        <v>17</v>
      </c>
      <c r="C141" s="3">
        <v>9</v>
      </c>
      <c r="D141" s="3" t="s">
        <v>16</v>
      </c>
      <c r="E141" s="3" t="s">
        <v>27</v>
      </c>
      <c r="F141" s="3">
        <v>5000</v>
      </c>
      <c r="G141" s="3">
        <v>0</v>
      </c>
      <c r="H141" s="3">
        <v>2</v>
      </c>
      <c r="I141" s="3" t="s">
        <v>25</v>
      </c>
      <c r="J141" s="3" t="s">
        <v>17</v>
      </c>
      <c r="K141" s="3"/>
      <c r="L141" s="3"/>
      <c r="M141" s="3"/>
      <c r="N141" s="3" t="s">
        <v>17</v>
      </c>
      <c r="O141" s="3"/>
      <c r="Q141">
        <f t="shared" si="3"/>
        <v>-1.2084700451040786</v>
      </c>
    </row>
    <row r="142" spans="1:17" ht="14" x14ac:dyDescent="0.15">
      <c r="A142" s="2">
        <v>45582</v>
      </c>
      <c r="B142" s="3">
        <v>17</v>
      </c>
      <c r="C142" s="3">
        <v>9</v>
      </c>
      <c r="D142" s="3" t="s">
        <v>16</v>
      </c>
      <c r="E142" s="3" t="s">
        <v>27</v>
      </c>
      <c r="F142" s="3">
        <v>5000</v>
      </c>
      <c r="G142" s="3">
        <v>0</v>
      </c>
      <c r="H142" s="3">
        <v>3</v>
      </c>
      <c r="I142" s="3" t="s">
        <v>25</v>
      </c>
      <c r="J142" s="3" t="s">
        <v>17</v>
      </c>
      <c r="K142" s="3"/>
      <c r="L142" s="3"/>
      <c r="M142" s="3"/>
      <c r="N142" s="3" t="s">
        <v>17</v>
      </c>
      <c r="O142" s="3"/>
      <c r="Q142">
        <f t="shared" si="3"/>
        <v>-1.0920605529887679</v>
      </c>
    </row>
    <row r="143" spans="1:17" ht="14" x14ac:dyDescent="0.15">
      <c r="A143" s="2">
        <v>45582</v>
      </c>
      <c r="B143" s="3">
        <v>17</v>
      </c>
      <c r="C143" s="3">
        <v>9</v>
      </c>
      <c r="D143" s="3" t="s">
        <v>16</v>
      </c>
      <c r="E143" s="3" t="s">
        <v>28</v>
      </c>
      <c r="F143" s="3">
        <v>1500</v>
      </c>
      <c r="G143" s="3">
        <v>1500</v>
      </c>
      <c r="H143" s="3">
        <v>1</v>
      </c>
      <c r="I143" s="3" t="s">
        <v>25</v>
      </c>
      <c r="J143" s="3">
        <v>6.3</v>
      </c>
      <c r="K143" s="3">
        <v>2.75</v>
      </c>
      <c r="L143" s="3">
        <v>1</v>
      </c>
      <c r="M143" s="3">
        <v>2.75</v>
      </c>
      <c r="N143" s="3" t="s">
        <v>17</v>
      </c>
      <c r="O143" s="3"/>
      <c r="P143">
        <f>LOG(J143/K104,2)</f>
        <v>1.1959202099752571</v>
      </c>
      <c r="Q143">
        <f t="shared" si="3"/>
        <v>3.4108424091663929</v>
      </c>
    </row>
    <row r="144" spans="1:17" ht="14" x14ac:dyDescent="0.15">
      <c r="A144" s="2">
        <v>45582</v>
      </c>
      <c r="B144" s="3">
        <v>17</v>
      </c>
      <c r="C144" s="3">
        <v>9</v>
      </c>
      <c r="D144" s="3" t="s">
        <v>16</v>
      </c>
      <c r="E144" s="3" t="s">
        <v>28</v>
      </c>
      <c r="F144" s="3">
        <v>1500</v>
      </c>
      <c r="G144" s="3">
        <v>1500</v>
      </c>
      <c r="H144" s="3">
        <v>2</v>
      </c>
      <c r="I144" s="3" t="s">
        <v>25</v>
      </c>
      <c r="J144" s="3">
        <v>5.3</v>
      </c>
      <c r="K144" s="3">
        <v>2.75</v>
      </c>
      <c r="L144" s="3">
        <v>1</v>
      </c>
      <c r="M144" s="3">
        <v>2.75</v>
      </c>
      <c r="N144" s="3" t="s">
        <v>17</v>
      </c>
      <c r="O144" s="3"/>
      <c r="P144">
        <f>LOG(J144/K105,2)</f>
        <v>0.9465607410385396</v>
      </c>
      <c r="Q144">
        <f t="shared" si="3"/>
        <v>3.0162731323008458</v>
      </c>
    </row>
    <row r="145" spans="1:17" ht="14" x14ac:dyDescent="0.15">
      <c r="A145" s="2">
        <v>45582</v>
      </c>
      <c r="B145" s="3">
        <v>17</v>
      </c>
      <c r="C145" s="3">
        <v>9</v>
      </c>
      <c r="D145" s="3" t="s">
        <v>16</v>
      </c>
      <c r="E145" s="3" t="s">
        <v>28</v>
      </c>
      <c r="F145" s="3">
        <v>1500</v>
      </c>
      <c r="G145" s="3">
        <v>1500</v>
      </c>
      <c r="H145" s="3">
        <v>3</v>
      </c>
      <c r="I145" s="3" t="s">
        <v>25</v>
      </c>
      <c r="J145" s="3">
        <v>6.68</v>
      </c>
      <c r="K145" s="3">
        <v>2.75</v>
      </c>
      <c r="L145" s="3">
        <v>1</v>
      </c>
      <c r="M145" s="3">
        <v>2.75</v>
      </c>
      <c r="N145" s="3" t="s">
        <v>17</v>
      </c>
      <c r="O145" s="3"/>
      <c r="P145">
        <f>LOG(J145/K106,2)</f>
        <v>1.2804164840620302</v>
      </c>
      <c r="Q145">
        <f t="shared" si="3"/>
        <v>3.4833726846844169</v>
      </c>
    </row>
    <row r="146" spans="1:17" ht="14" x14ac:dyDescent="0.15">
      <c r="A146" s="2">
        <v>45582</v>
      </c>
      <c r="B146" s="3">
        <v>17</v>
      </c>
      <c r="C146" s="3">
        <v>9</v>
      </c>
      <c r="D146" s="3" t="s">
        <v>16</v>
      </c>
      <c r="E146" s="3" t="s">
        <v>28</v>
      </c>
      <c r="F146" s="3">
        <v>5000</v>
      </c>
      <c r="G146" s="3">
        <v>0</v>
      </c>
      <c r="H146" s="3">
        <v>1</v>
      </c>
      <c r="I146" s="3" t="s">
        <v>25</v>
      </c>
      <c r="J146" s="3" t="s">
        <v>17</v>
      </c>
      <c r="K146" s="3"/>
      <c r="L146" s="3"/>
      <c r="M146" s="3"/>
      <c r="N146" s="3" t="s">
        <v>17</v>
      </c>
      <c r="O146" s="3"/>
      <c r="Q146">
        <f t="shared" si="3"/>
        <v>-0.86488306908694301</v>
      </c>
    </row>
    <row r="147" spans="1:17" ht="14" x14ac:dyDescent="0.15">
      <c r="A147" s="2">
        <v>45582</v>
      </c>
      <c r="B147" s="3">
        <v>17</v>
      </c>
      <c r="C147" s="3">
        <v>9</v>
      </c>
      <c r="D147" s="3" t="s">
        <v>16</v>
      </c>
      <c r="E147" s="3" t="s">
        <v>28</v>
      </c>
      <c r="F147" s="3">
        <v>5000</v>
      </c>
      <c r="G147" s="3">
        <v>0</v>
      </c>
      <c r="H147" s="3">
        <v>2</v>
      </c>
      <c r="I147" s="3" t="s">
        <v>25</v>
      </c>
      <c r="J147" s="3" t="s">
        <v>17</v>
      </c>
      <c r="K147" s="3"/>
      <c r="L147" s="3"/>
      <c r="M147" s="3"/>
      <c r="N147" s="3" t="s">
        <v>17</v>
      </c>
      <c r="O147" s="3"/>
      <c r="Q147">
        <f t="shared" si="3"/>
        <v>-1.1725504708491359</v>
      </c>
    </row>
    <row r="148" spans="1:17" ht="14" x14ac:dyDescent="0.15">
      <c r="A148" s="2">
        <v>45582</v>
      </c>
      <c r="B148" s="3">
        <v>17</v>
      </c>
      <c r="C148" s="3">
        <v>9</v>
      </c>
      <c r="D148" s="3" t="s">
        <v>16</v>
      </c>
      <c r="E148" s="3" t="s">
        <v>28</v>
      </c>
      <c r="F148" s="3">
        <v>5000</v>
      </c>
      <c r="G148" s="3">
        <v>0</v>
      </c>
      <c r="H148" s="3">
        <v>3</v>
      </c>
      <c r="I148" s="3" t="s">
        <v>25</v>
      </c>
      <c r="J148" s="3" t="s">
        <v>17</v>
      </c>
      <c r="K148" s="3"/>
      <c r="L148" s="3"/>
      <c r="M148" s="3"/>
      <c r="N148" s="3" t="s">
        <v>17</v>
      </c>
      <c r="O148" s="3"/>
      <c r="Q148">
        <f t="shared" si="3"/>
        <v>-1.0371986179542496</v>
      </c>
    </row>
    <row r="149" spans="1:17" ht="14" x14ac:dyDescent="0.15">
      <c r="A149" s="2">
        <v>45582</v>
      </c>
      <c r="B149" s="3">
        <v>17</v>
      </c>
      <c r="C149" s="3">
        <v>9</v>
      </c>
      <c r="D149" s="3" t="s">
        <v>16</v>
      </c>
      <c r="E149" s="3" t="s">
        <v>29</v>
      </c>
      <c r="F149" s="3">
        <v>1000</v>
      </c>
      <c r="G149" s="3">
        <v>0</v>
      </c>
      <c r="H149" s="3">
        <v>1</v>
      </c>
      <c r="I149" s="3" t="s">
        <v>25</v>
      </c>
      <c r="J149" s="3" t="s">
        <v>17</v>
      </c>
      <c r="K149" s="3"/>
      <c r="L149" s="3"/>
      <c r="M149" s="3"/>
      <c r="N149" s="3" t="s">
        <v>17</v>
      </c>
      <c r="O149" s="3"/>
      <c r="Q149">
        <f t="shared" si="3"/>
        <v>0</v>
      </c>
    </row>
    <row r="150" spans="1:17" ht="14" x14ac:dyDescent="0.15">
      <c r="A150" s="2">
        <v>45582</v>
      </c>
      <c r="B150" s="3">
        <v>17</v>
      </c>
      <c r="C150" s="3">
        <v>9</v>
      </c>
      <c r="D150" s="3" t="s">
        <v>16</v>
      </c>
      <c r="E150" s="3" t="s">
        <v>29</v>
      </c>
      <c r="F150" s="3">
        <v>1000</v>
      </c>
      <c r="G150" s="3">
        <v>0</v>
      </c>
      <c r="H150" s="3">
        <v>2</v>
      </c>
      <c r="I150" s="3" t="s">
        <v>25</v>
      </c>
      <c r="J150" s="3" t="s">
        <v>17</v>
      </c>
      <c r="K150" s="3"/>
      <c r="L150" s="3"/>
      <c r="M150" s="3"/>
      <c r="N150" s="3" t="s">
        <v>17</v>
      </c>
      <c r="O150" s="3"/>
      <c r="Q150">
        <f t="shared" si="3"/>
        <v>0</v>
      </c>
    </row>
    <row r="151" spans="1:17" ht="14" x14ac:dyDescent="0.15">
      <c r="A151" s="2">
        <v>45582</v>
      </c>
      <c r="B151" s="3">
        <v>17</v>
      </c>
      <c r="C151" s="3">
        <v>9</v>
      </c>
      <c r="D151" s="3" t="s">
        <v>16</v>
      </c>
      <c r="E151" s="3" t="s">
        <v>29</v>
      </c>
      <c r="F151" s="3">
        <v>1000</v>
      </c>
      <c r="G151" s="3">
        <v>0</v>
      </c>
      <c r="H151" s="3">
        <v>3</v>
      </c>
      <c r="I151" s="3" t="s">
        <v>25</v>
      </c>
      <c r="J151" s="3" t="s">
        <v>17</v>
      </c>
      <c r="K151" s="3"/>
      <c r="L151" s="3"/>
      <c r="M151" s="3"/>
      <c r="N151" s="3" t="s">
        <v>17</v>
      </c>
      <c r="O151" s="3"/>
      <c r="Q151">
        <f t="shared" si="3"/>
        <v>0</v>
      </c>
    </row>
    <row r="152" spans="1:17" ht="14" x14ac:dyDescent="0.15">
      <c r="A152" s="2">
        <v>45582</v>
      </c>
      <c r="B152" s="3">
        <v>17</v>
      </c>
      <c r="C152" s="3">
        <v>9</v>
      </c>
      <c r="D152" s="3" t="s">
        <v>16</v>
      </c>
      <c r="E152" s="3" t="s">
        <v>29</v>
      </c>
      <c r="F152" s="3">
        <v>2500</v>
      </c>
      <c r="G152" s="3">
        <v>0</v>
      </c>
      <c r="H152" s="3">
        <v>1</v>
      </c>
      <c r="I152" s="3" t="s">
        <v>25</v>
      </c>
      <c r="J152" s="3" t="s">
        <v>17</v>
      </c>
      <c r="K152" s="3"/>
      <c r="L152" s="3"/>
      <c r="M152" s="3"/>
      <c r="N152" s="3" t="s">
        <v>17</v>
      </c>
      <c r="O152" s="3"/>
      <c r="Q152">
        <f t="shared" si="3"/>
        <v>0</v>
      </c>
    </row>
    <row r="153" spans="1:17" ht="14" x14ac:dyDescent="0.15">
      <c r="A153" s="2">
        <v>45582</v>
      </c>
      <c r="B153" s="3">
        <v>17</v>
      </c>
      <c r="C153" s="3">
        <v>9</v>
      </c>
      <c r="D153" s="3" t="s">
        <v>16</v>
      </c>
      <c r="E153" s="3" t="s">
        <v>29</v>
      </c>
      <c r="F153" s="3">
        <v>2500</v>
      </c>
      <c r="G153" s="3">
        <v>0</v>
      </c>
      <c r="H153" s="3">
        <v>2</v>
      </c>
      <c r="I153" s="3" t="s">
        <v>25</v>
      </c>
      <c r="J153" s="3" t="s">
        <v>17</v>
      </c>
      <c r="K153" s="3"/>
      <c r="L153" s="3"/>
      <c r="M153" s="3"/>
      <c r="N153" s="3" t="s">
        <v>17</v>
      </c>
      <c r="O153" s="3"/>
      <c r="Q153">
        <f t="shared" si="3"/>
        <v>0</v>
      </c>
    </row>
    <row r="154" spans="1:17" ht="14" x14ac:dyDescent="0.15">
      <c r="A154" s="2">
        <v>45582</v>
      </c>
      <c r="B154" s="3">
        <v>17</v>
      </c>
      <c r="C154" s="3">
        <v>9</v>
      </c>
      <c r="D154" s="3" t="s">
        <v>16</v>
      </c>
      <c r="E154" s="3" t="s">
        <v>29</v>
      </c>
      <c r="F154" s="3">
        <v>2500</v>
      </c>
      <c r="G154" s="3">
        <v>0</v>
      </c>
      <c r="H154" s="3">
        <v>3</v>
      </c>
      <c r="I154" s="3" t="s">
        <v>25</v>
      </c>
      <c r="J154" s="3" t="s">
        <v>17</v>
      </c>
      <c r="K154" s="3"/>
      <c r="L154" s="3"/>
      <c r="M154" s="3"/>
      <c r="N154" s="3" t="s">
        <v>17</v>
      </c>
      <c r="O154" s="3"/>
      <c r="Q154">
        <f t="shared" si="3"/>
        <v>0</v>
      </c>
    </row>
    <row r="155" spans="1:17" ht="14" x14ac:dyDescent="0.15">
      <c r="A155" s="2">
        <v>45582</v>
      </c>
      <c r="B155" s="3">
        <v>17</v>
      </c>
      <c r="C155" s="3">
        <v>9</v>
      </c>
      <c r="D155" s="3" t="s">
        <v>16</v>
      </c>
      <c r="E155" s="3" t="s">
        <v>30</v>
      </c>
      <c r="F155" s="3">
        <v>2000</v>
      </c>
      <c r="G155" s="3">
        <v>2000</v>
      </c>
      <c r="H155" s="3">
        <v>1</v>
      </c>
      <c r="I155" s="3" t="s">
        <v>25</v>
      </c>
      <c r="J155" s="3">
        <v>6.71</v>
      </c>
      <c r="K155" s="3">
        <v>2.75</v>
      </c>
      <c r="L155" s="3">
        <v>1</v>
      </c>
      <c r="M155" s="3">
        <v>2.75</v>
      </c>
      <c r="N155" s="3" t="s">
        <v>17</v>
      </c>
      <c r="O155" s="3"/>
      <c r="P155">
        <f>LOG(J155/K116,2)</f>
        <v>1.2868811477881617</v>
      </c>
      <c r="Q155">
        <f t="shared" si="3"/>
        <v>3.6971127961703827</v>
      </c>
    </row>
    <row r="156" spans="1:17" ht="14" x14ac:dyDescent="0.15">
      <c r="A156" s="2">
        <v>45582</v>
      </c>
      <c r="B156" s="3">
        <v>17</v>
      </c>
      <c r="C156" s="3">
        <v>9</v>
      </c>
      <c r="D156" s="3" t="s">
        <v>16</v>
      </c>
      <c r="E156" s="3" t="s">
        <v>30</v>
      </c>
      <c r="F156" s="3">
        <v>2000</v>
      </c>
      <c r="G156" s="3">
        <v>2000</v>
      </c>
      <c r="H156" s="3">
        <v>2</v>
      </c>
      <c r="I156" s="3" t="s">
        <v>25</v>
      </c>
      <c r="J156" s="3">
        <v>5.6</v>
      </c>
      <c r="K156" s="3">
        <v>2.75</v>
      </c>
      <c r="L156" s="3">
        <v>1</v>
      </c>
      <c r="M156" s="3">
        <v>2.75</v>
      </c>
      <c r="N156" s="3" t="s">
        <v>17</v>
      </c>
      <c r="O156" s="3"/>
      <c r="P156">
        <f>LOG(J156/K117,2)</f>
        <v>1.0259952085329445</v>
      </c>
      <c r="Q156">
        <f t="shared" si="3"/>
        <v>3.4351497954522792</v>
      </c>
    </row>
    <row r="157" spans="1:17" ht="14" x14ac:dyDescent="0.15">
      <c r="A157" s="2">
        <v>45582</v>
      </c>
      <c r="B157" s="3">
        <v>17</v>
      </c>
      <c r="C157" s="3">
        <v>9</v>
      </c>
      <c r="D157" s="3" t="s">
        <v>16</v>
      </c>
      <c r="E157" s="3" t="s">
        <v>30</v>
      </c>
      <c r="F157" s="3">
        <v>2000</v>
      </c>
      <c r="G157" s="3">
        <v>2000</v>
      </c>
      <c r="H157" s="3">
        <v>3</v>
      </c>
      <c r="I157" s="3" t="s">
        <v>25</v>
      </c>
      <c r="J157" s="3">
        <v>6.05</v>
      </c>
      <c r="K157" s="3">
        <v>2.75</v>
      </c>
      <c r="L157" s="3">
        <v>1</v>
      </c>
      <c r="M157" s="3">
        <v>2.75</v>
      </c>
      <c r="N157" s="3" t="s">
        <v>17</v>
      </c>
      <c r="O157" s="3"/>
      <c r="P157">
        <f>LOG(J157/K118,2)</f>
        <v>1.1375035237499347</v>
      </c>
      <c r="Q157">
        <f t="shared" si="3"/>
        <v>3.5327857278821684</v>
      </c>
    </row>
    <row r="158" spans="1:17" ht="14" x14ac:dyDescent="0.15">
      <c r="A158" s="2">
        <v>45582</v>
      </c>
      <c r="B158" s="3">
        <v>17</v>
      </c>
      <c r="C158" s="3">
        <v>9</v>
      </c>
      <c r="D158" s="3" t="s">
        <v>16</v>
      </c>
      <c r="E158" s="3" t="s">
        <v>30</v>
      </c>
      <c r="F158" s="3">
        <v>15000</v>
      </c>
      <c r="G158" s="3">
        <v>0</v>
      </c>
      <c r="H158" s="3">
        <v>1</v>
      </c>
      <c r="I158" s="3" t="s">
        <v>25</v>
      </c>
      <c r="J158" s="3" t="s">
        <v>17</v>
      </c>
      <c r="K158" s="3"/>
      <c r="L158" s="3"/>
      <c r="M158" s="3"/>
      <c r="N158" s="3" t="s">
        <v>17</v>
      </c>
      <c r="O158" s="3"/>
      <c r="Q158">
        <f t="shared" si="3"/>
        <v>-0.19039847218206021</v>
      </c>
    </row>
    <row r="159" spans="1:17" ht="14" x14ac:dyDescent="0.15">
      <c r="A159" s="2">
        <v>45582</v>
      </c>
      <c r="B159" s="3">
        <v>17</v>
      </c>
      <c r="C159" s="3">
        <v>9</v>
      </c>
      <c r="D159" s="3" t="s">
        <v>16</v>
      </c>
      <c r="E159" s="3" t="s">
        <v>30</v>
      </c>
      <c r="F159" s="3">
        <v>15000</v>
      </c>
      <c r="G159" s="3">
        <v>0</v>
      </c>
      <c r="H159" s="3">
        <v>2</v>
      </c>
      <c r="I159" s="3" t="s">
        <v>25</v>
      </c>
      <c r="J159" s="3" t="s">
        <v>17</v>
      </c>
      <c r="K159" s="3"/>
      <c r="L159" s="3"/>
      <c r="M159" s="3"/>
      <c r="N159" s="3" t="s">
        <v>17</v>
      </c>
      <c r="O159" s="3"/>
      <c r="Q159">
        <f t="shared" si="3"/>
        <v>-0.14328587634394094</v>
      </c>
    </row>
    <row r="160" spans="1:17" ht="14" x14ac:dyDescent="0.15">
      <c r="A160" s="2">
        <v>45582</v>
      </c>
      <c r="B160" s="3">
        <v>17</v>
      </c>
      <c r="C160" s="3">
        <v>9</v>
      </c>
      <c r="D160" s="3" t="s">
        <v>16</v>
      </c>
      <c r="E160" s="3" t="s">
        <v>30</v>
      </c>
      <c r="F160" s="3">
        <v>15000</v>
      </c>
      <c r="G160" s="3">
        <v>0</v>
      </c>
      <c r="H160" s="3">
        <v>3</v>
      </c>
      <c r="I160" s="3" t="s">
        <v>25</v>
      </c>
      <c r="J160" s="3" t="s">
        <v>17</v>
      </c>
      <c r="K160" s="3"/>
      <c r="L160" s="3"/>
      <c r="M160" s="3"/>
      <c r="N160" s="3" t="s">
        <v>17</v>
      </c>
      <c r="O160" s="3"/>
      <c r="Q160">
        <f t="shared" si="3"/>
        <v>-6.43688191197197E-2</v>
      </c>
    </row>
    <row r="161" spans="1:17" ht="14" x14ac:dyDescent="0.15">
      <c r="A161" s="2">
        <v>45582</v>
      </c>
      <c r="B161" s="3">
        <v>17</v>
      </c>
      <c r="C161" s="3">
        <v>9</v>
      </c>
      <c r="D161" s="3" t="s">
        <v>16</v>
      </c>
      <c r="E161" s="3" t="s">
        <v>31</v>
      </c>
      <c r="F161" s="3">
        <v>4000</v>
      </c>
      <c r="G161" s="3">
        <v>4000</v>
      </c>
      <c r="H161" s="3">
        <v>1</v>
      </c>
      <c r="I161" s="3" t="s">
        <v>25</v>
      </c>
      <c r="J161" s="3">
        <v>7.17</v>
      </c>
      <c r="K161" s="3">
        <v>2.75</v>
      </c>
      <c r="L161" s="3">
        <v>1</v>
      </c>
      <c r="M161" s="3">
        <v>2.75</v>
      </c>
      <c r="N161" s="3" t="s">
        <v>17</v>
      </c>
      <c r="O161" s="3"/>
      <c r="P161">
        <f t="shared" ref="P161:P172" si="5">LOG(J161/K122,2)</f>
        <v>1.3825415002898829</v>
      </c>
      <c r="Q161">
        <f t="shared" si="3"/>
        <v>4.0639926242317825</v>
      </c>
    </row>
    <row r="162" spans="1:17" ht="14" x14ac:dyDescent="0.15">
      <c r="A162" s="2">
        <v>45582</v>
      </c>
      <c r="B162" s="3">
        <v>17</v>
      </c>
      <c r="C162" s="3">
        <v>9</v>
      </c>
      <c r="D162" s="3" t="s">
        <v>16</v>
      </c>
      <c r="E162" s="3" t="s">
        <v>31</v>
      </c>
      <c r="F162" s="3">
        <v>4000</v>
      </c>
      <c r="G162" s="3">
        <v>4000</v>
      </c>
      <c r="H162" s="3">
        <v>2</v>
      </c>
      <c r="I162" s="3" t="s">
        <v>25</v>
      </c>
      <c r="J162" s="3">
        <v>7.02</v>
      </c>
      <c r="K162" s="3">
        <v>2.75</v>
      </c>
      <c r="L162" s="3">
        <v>1</v>
      </c>
      <c r="M162" s="3">
        <v>2.75</v>
      </c>
      <c r="N162" s="3" t="s">
        <v>17</v>
      </c>
      <c r="O162" s="3"/>
      <c r="P162">
        <f t="shared" si="5"/>
        <v>1.3520394118925387</v>
      </c>
      <c r="Q162">
        <f t="shared" si="3"/>
        <v>3.9897649950774454</v>
      </c>
    </row>
    <row r="163" spans="1:17" ht="14" x14ac:dyDescent="0.15">
      <c r="A163" s="2">
        <v>45582</v>
      </c>
      <c r="B163" s="3">
        <v>17</v>
      </c>
      <c r="C163" s="3">
        <v>9</v>
      </c>
      <c r="D163" s="3" t="s">
        <v>16</v>
      </c>
      <c r="E163" s="3" t="s">
        <v>31</v>
      </c>
      <c r="F163" s="3">
        <v>4000</v>
      </c>
      <c r="G163" s="3">
        <v>4000</v>
      </c>
      <c r="H163" s="3">
        <v>3</v>
      </c>
      <c r="I163" s="3" t="s">
        <v>25</v>
      </c>
      <c r="J163" s="3">
        <v>6.47</v>
      </c>
      <c r="K163" s="3">
        <v>2.75</v>
      </c>
      <c r="L163" s="3">
        <v>1</v>
      </c>
      <c r="M163" s="3">
        <v>2.75</v>
      </c>
      <c r="N163" s="3" t="s">
        <v>17</v>
      </c>
      <c r="O163" s="3"/>
      <c r="P163">
        <f t="shared" si="5"/>
        <v>1.2343340935804854</v>
      </c>
      <c r="Q163">
        <f t="shared" si="3"/>
        <v>3.8192965943016421</v>
      </c>
    </row>
    <row r="164" spans="1:17" ht="14" x14ac:dyDescent="0.15">
      <c r="A164" s="2">
        <v>45582</v>
      </c>
      <c r="B164" s="3">
        <v>17</v>
      </c>
      <c r="C164" s="3">
        <v>9</v>
      </c>
      <c r="D164" s="3" t="s">
        <v>16</v>
      </c>
      <c r="E164" s="3" t="s">
        <v>31</v>
      </c>
      <c r="F164" s="3">
        <v>8000</v>
      </c>
      <c r="G164" s="3">
        <v>8000</v>
      </c>
      <c r="H164" s="3">
        <v>1</v>
      </c>
      <c r="I164" s="3" t="s">
        <v>25</v>
      </c>
      <c r="J164" s="3">
        <v>2.8</v>
      </c>
      <c r="K164" s="3">
        <v>2.8</v>
      </c>
      <c r="L164" s="3"/>
      <c r="M164" s="3"/>
      <c r="N164" s="3" t="s">
        <v>17</v>
      </c>
      <c r="O164" s="3"/>
      <c r="P164">
        <f t="shared" si="5"/>
        <v>2.5995208532944358E-2</v>
      </c>
      <c r="Q164">
        <f t="shared" si="3"/>
        <v>2.3143493773567383</v>
      </c>
    </row>
    <row r="165" spans="1:17" ht="14" x14ac:dyDescent="0.15">
      <c r="A165" s="2">
        <v>45582</v>
      </c>
      <c r="B165" s="3">
        <v>17</v>
      </c>
      <c r="C165" s="3">
        <v>9</v>
      </c>
      <c r="D165" s="3" t="s">
        <v>16</v>
      </c>
      <c r="E165" s="3" t="s">
        <v>31</v>
      </c>
      <c r="F165" s="3">
        <v>8000</v>
      </c>
      <c r="G165" s="3">
        <v>8000</v>
      </c>
      <c r="H165" s="3">
        <v>2</v>
      </c>
      <c r="I165" s="3" t="s">
        <v>25</v>
      </c>
      <c r="J165" s="3">
        <v>2.1800000000000002</v>
      </c>
      <c r="K165" s="3">
        <v>2.1800000000000002</v>
      </c>
      <c r="L165" s="3"/>
      <c r="M165" s="3"/>
      <c r="N165" s="3" t="s">
        <v>17</v>
      </c>
      <c r="O165" s="3"/>
      <c r="P165">
        <f t="shared" si="5"/>
        <v>-0.3351034836350954</v>
      </c>
      <c r="Q165">
        <f t="shared" si="3"/>
        <v>1.7507773472758459</v>
      </c>
    </row>
    <row r="166" spans="1:17" ht="14" x14ac:dyDescent="0.15">
      <c r="A166" s="2">
        <v>45582</v>
      </c>
      <c r="B166" s="3">
        <v>17</v>
      </c>
      <c r="C166" s="3">
        <v>9</v>
      </c>
      <c r="D166" s="3" t="s">
        <v>16</v>
      </c>
      <c r="E166" s="3" t="s">
        <v>31</v>
      </c>
      <c r="F166" s="3">
        <v>8000</v>
      </c>
      <c r="G166" s="3">
        <v>8000</v>
      </c>
      <c r="H166" s="3">
        <v>3</v>
      </c>
      <c r="I166" s="3" t="s">
        <v>25</v>
      </c>
      <c r="J166" s="3">
        <v>3.49</v>
      </c>
      <c r="K166" s="3">
        <v>3.49</v>
      </c>
      <c r="L166" s="3"/>
      <c r="M166" s="3"/>
      <c r="N166" s="3" t="s">
        <v>17</v>
      </c>
      <c r="O166" s="3"/>
      <c r="P166">
        <f t="shared" si="5"/>
        <v>0.34379541779763051</v>
      </c>
      <c r="Q166">
        <f t="shared" si="3"/>
        <v>2.4696934846158225</v>
      </c>
    </row>
    <row r="167" spans="1:17" ht="14" x14ac:dyDescent="0.15">
      <c r="A167" s="2">
        <v>45582</v>
      </c>
      <c r="B167" s="3">
        <v>17</v>
      </c>
      <c r="C167" s="3">
        <v>9</v>
      </c>
      <c r="D167" s="3" t="s">
        <v>16</v>
      </c>
      <c r="E167" s="3" t="s">
        <v>32</v>
      </c>
      <c r="F167" s="5">
        <v>0.01</v>
      </c>
      <c r="G167" s="5">
        <v>0.01</v>
      </c>
      <c r="H167" s="3">
        <v>1</v>
      </c>
      <c r="I167" s="3" t="s">
        <v>25</v>
      </c>
      <c r="J167" s="3">
        <v>7.17</v>
      </c>
      <c r="K167" s="3">
        <v>2.75</v>
      </c>
      <c r="L167" s="3">
        <v>1</v>
      </c>
      <c r="M167" s="3">
        <v>2.75</v>
      </c>
      <c r="N167" s="3" t="s">
        <v>17</v>
      </c>
      <c r="O167" s="3"/>
      <c r="P167">
        <f t="shared" si="5"/>
        <v>1.3825415002898829</v>
      </c>
      <c r="Q167">
        <f t="shared" si="3"/>
        <v>4.7452281563819305</v>
      </c>
    </row>
    <row r="168" spans="1:17" ht="14" x14ac:dyDescent="0.15">
      <c r="A168" s="2">
        <v>45582</v>
      </c>
      <c r="B168" s="3">
        <v>17</v>
      </c>
      <c r="C168" s="3">
        <v>9</v>
      </c>
      <c r="D168" s="3" t="s">
        <v>16</v>
      </c>
      <c r="E168" s="3" t="s">
        <v>32</v>
      </c>
      <c r="F168" s="5">
        <v>0.01</v>
      </c>
      <c r="G168" s="5">
        <v>0.01</v>
      </c>
      <c r="H168" s="3">
        <v>2</v>
      </c>
      <c r="I168" s="3" t="s">
        <v>25</v>
      </c>
      <c r="J168" s="3">
        <v>7.17</v>
      </c>
      <c r="K168" s="3">
        <v>2.75</v>
      </c>
      <c r="L168" s="3">
        <v>1</v>
      </c>
      <c r="M168" s="3">
        <v>2.75</v>
      </c>
      <c r="N168" s="3" t="s">
        <v>17</v>
      </c>
      <c r="O168" s="3"/>
      <c r="P168">
        <f t="shared" si="5"/>
        <v>1.3825415002898829</v>
      </c>
      <c r="Q168">
        <f t="shared" si="3"/>
        <v>4.3691254417541385</v>
      </c>
    </row>
    <row r="169" spans="1:17" ht="14" x14ac:dyDescent="0.15">
      <c r="A169" s="2">
        <v>45582</v>
      </c>
      <c r="B169" s="3">
        <v>17</v>
      </c>
      <c r="C169" s="3">
        <v>9</v>
      </c>
      <c r="D169" s="3" t="s">
        <v>16</v>
      </c>
      <c r="E169" s="3" t="s">
        <v>32</v>
      </c>
      <c r="F169" s="5">
        <v>0.01</v>
      </c>
      <c r="G169" s="5">
        <v>0.01</v>
      </c>
      <c r="H169" s="3">
        <v>3</v>
      </c>
      <c r="I169" s="3" t="s">
        <v>25</v>
      </c>
      <c r="J169" s="3">
        <v>6.98</v>
      </c>
      <c r="K169" s="3">
        <v>2.75</v>
      </c>
      <c r="L169" s="3">
        <v>1</v>
      </c>
      <c r="M169" s="3">
        <v>2.75</v>
      </c>
      <c r="N169" s="3" t="s">
        <v>17</v>
      </c>
      <c r="O169" s="3"/>
      <c r="P169">
        <f t="shared" si="5"/>
        <v>1.3437954177976306</v>
      </c>
      <c r="Q169">
        <f t="shared" si="3"/>
        <v>4.1990075985889659</v>
      </c>
    </row>
    <row r="170" spans="1:17" ht="14" x14ac:dyDescent="0.15">
      <c r="A170" s="2">
        <v>45585</v>
      </c>
      <c r="B170" s="3">
        <v>20</v>
      </c>
      <c r="C170" s="3">
        <v>12</v>
      </c>
      <c r="D170" s="3" t="s">
        <v>16</v>
      </c>
      <c r="E170" s="3" t="s">
        <v>24</v>
      </c>
      <c r="F170" s="3">
        <v>100</v>
      </c>
      <c r="G170" s="6">
        <v>100</v>
      </c>
      <c r="H170" s="3">
        <v>1</v>
      </c>
      <c r="I170" s="3" t="s">
        <v>25</v>
      </c>
      <c r="J170" s="3">
        <v>4.8499999999999996</v>
      </c>
      <c r="K170" s="3">
        <v>2.75</v>
      </c>
      <c r="L170" s="3">
        <v>1</v>
      </c>
      <c r="M170" s="3">
        <v>2.75</v>
      </c>
      <c r="N170" s="3" t="s">
        <v>17</v>
      </c>
      <c r="O170" s="3"/>
      <c r="P170">
        <f t="shared" si="5"/>
        <v>0.81855312866246788</v>
      </c>
      <c r="Q170">
        <f t="shared" si="3"/>
        <v>4.1533021021933987</v>
      </c>
    </row>
    <row r="171" spans="1:17" ht="14" x14ac:dyDescent="0.15">
      <c r="A171" s="2">
        <v>45585</v>
      </c>
      <c r="B171" s="3">
        <v>20</v>
      </c>
      <c r="C171" s="3">
        <v>12</v>
      </c>
      <c r="D171" s="3" t="s">
        <v>16</v>
      </c>
      <c r="E171" s="3" t="s">
        <v>24</v>
      </c>
      <c r="F171" s="3">
        <v>100</v>
      </c>
      <c r="G171" s="6">
        <v>100</v>
      </c>
      <c r="H171" s="3">
        <v>2</v>
      </c>
      <c r="I171" s="3" t="s">
        <v>25</v>
      </c>
      <c r="J171" s="3">
        <v>4.6900000000000004</v>
      </c>
      <c r="K171" s="3">
        <v>2.75</v>
      </c>
      <c r="L171" s="3">
        <v>1</v>
      </c>
      <c r="M171" s="3">
        <v>2.75</v>
      </c>
      <c r="N171" s="3" t="s">
        <v>17</v>
      </c>
      <c r="O171" s="3"/>
      <c r="P171">
        <f t="shared" si="5"/>
        <v>0.77015630410335478</v>
      </c>
      <c r="Q171">
        <f t="shared" si="3"/>
        <v>3.8278423894774072</v>
      </c>
    </row>
    <row r="172" spans="1:17" ht="14" x14ac:dyDescent="0.15">
      <c r="A172" s="2">
        <v>45585</v>
      </c>
      <c r="B172" s="3">
        <v>20</v>
      </c>
      <c r="C172" s="3">
        <v>12</v>
      </c>
      <c r="D172" s="3" t="s">
        <v>16</v>
      </c>
      <c r="E172" s="3" t="s">
        <v>24</v>
      </c>
      <c r="F172" s="3">
        <v>100</v>
      </c>
      <c r="G172" s="6">
        <v>100</v>
      </c>
      <c r="H172" s="3">
        <v>3</v>
      </c>
      <c r="I172" s="3" t="s">
        <v>25</v>
      </c>
      <c r="J172" s="3">
        <v>4.49</v>
      </c>
      <c r="K172" s="3">
        <v>2.75</v>
      </c>
      <c r="L172" s="3">
        <v>1</v>
      </c>
      <c r="M172" s="3">
        <v>2.75</v>
      </c>
      <c r="N172" s="3" t="s">
        <v>17</v>
      </c>
      <c r="O172" s="3"/>
      <c r="P172">
        <f t="shared" si="5"/>
        <v>0.70728382632912512</v>
      </c>
      <c r="Q172">
        <f t="shared" si="3"/>
        <v>4.1986590562642405</v>
      </c>
    </row>
    <row r="173" spans="1:17" ht="14" x14ac:dyDescent="0.15">
      <c r="A173" s="2">
        <v>45585</v>
      </c>
      <c r="B173" s="3">
        <v>20</v>
      </c>
      <c r="C173" s="3">
        <v>12</v>
      </c>
      <c r="D173" s="3" t="s">
        <v>16</v>
      </c>
      <c r="E173" s="3" t="s">
        <v>24</v>
      </c>
      <c r="F173" s="3">
        <v>1000</v>
      </c>
      <c r="G173" s="7">
        <v>0</v>
      </c>
      <c r="H173" s="3">
        <v>1</v>
      </c>
      <c r="I173" s="3" t="s">
        <v>25</v>
      </c>
      <c r="J173" s="3">
        <v>3.66</v>
      </c>
      <c r="K173" s="3">
        <v>3.66</v>
      </c>
      <c r="L173" s="3"/>
      <c r="M173" s="3"/>
      <c r="N173" s="3" t="s">
        <v>17</v>
      </c>
      <c r="O173" s="3"/>
      <c r="P173">
        <f>LOG(J173/K95,2)</f>
        <v>1.0399664073176447</v>
      </c>
      <c r="Q173">
        <f t="shared" si="3"/>
        <v>0.41241202987202064</v>
      </c>
    </row>
    <row r="174" spans="1:17" ht="14" x14ac:dyDescent="0.15">
      <c r="A174" s="2">
        <v>45585</v>
      </c>
      <c r="B174" s="3">
        <v>20</v>
      </c>
      <c r="C174" s="3">
        <v>12</v>
      </c>
      <c r="D174" s="3" t="s">
        <v>16</v>
      </c>
      <c r="E174" s="3" t="s">
        <v>24</v>
      </c>
      <c r="F174" s="3">
        <v>1000</v>
      </c>
      <c r="G174" s="7">
        <v>0</v>
      </c>
      <c r="H174" s="3">
        <v>2</v>
      </c>
      <c r="I174" s="3" t="s">
        <v>25</v>
      </c>
      <c r="J174" s="3">
        <v>3.15</v>
      </c>
      <c r="K174" s="3">
        <v>3.15</v>
      </c>
      <c r="L174" s="3"/>
      <c r="M174" s="3"/>
      <c r="N174" s="3" t="s">
        <v>17</v>
      </c>
      <c r="O174" s="3"/>
      <c r="P174">
        <f>LOG(J174/K96,2)</f>
        <v>0.77564606233026601</v>
      </c>
      <c r="Q174">
        <f t="shared" si="3"/>
        <v>0.19592020997525683</v>
      </c>
    </row>
    <row r="175" spans="1:17" ht="14" x14ac:dyDescent="0.15">
      <c r="A175" s="2">
        <v>45585</v>
      </c>
      <c r="B175" s="3">
        <v>20</v>
      </c>
      <c r="C175" s="3">
        <v>12</v>
      </c>
      <c r="D175" s="3" t="s">
        <v>16</v>
      </c>
      <c r="E175" s="3" t="s">
        <v>24</v>
      </c>
      <c r="F175" s="3">
        <v>1000</v>
      </c>
      <c r="G175" s="7">
        <v>0</v>
      </c>
      <c r="H175" s="3">
        <v>3</v>
      </c>
      <c r="I175" s="3" t="s">
        <v>25</v>
      </c>
      <c r="J175" s="3">
        <v>3.29</v>
      </c>
      <c r="K175" s="3">
        <v>3.29</v>
      </c>
      <c r="L175" s="3"/>
      <c r="M175" s="3"/>
      <c r="N175" s="3" t="s">
        <v>17</v>
      </c>
      <c r="O175" s="3"/>
      <c r="P175">
        <f>LOG(J175/K97,2)</f>
        <v>0.79208816540429383</v>
      </c>
      <c r="Q175">
        <f t="shared" si="3"/>
        <v>0.25865596532321977</v>
      </c>
    </row>
    <row r="176" spans="1:17" ht="14" x14ac:dyDescent="0.15">
      <c r="A176" s="2">
        <v>45585</v>
      </c>
      <c r="B176" s="3">
        <v>20</v>
      </c>
      <c r="C176" s="3">
        <v>12</v>
      </c>
      <c r="D176" s="3" t="s">
        <v>16</v>
      </c>
      <c r="E176" s="3" t="s">
        <v>27</v>
      </c>
      <c r="F176" s="3">
        <v>1250</v>
      </c>
      <c r="G176" s="8">
        <v>1250</v>
      </c>
      <c r="H176" s="3">
        <v>1</v>
      </c>
      <c r="I176" s="3" t="s">
        <v>25</v>
      </c>
      <c r="J176" s="3">
        <v>5.07</v>
      </c>
      <c r="K176" s="3">
        <v>2.75</v>
      </c>
      <c r="L176" s="3">
        <v>1</v>
      </c>
      <c r="M176" s="3">
        <v>2.75</v>
      </c>
      <c r="N176" s="3" t="s">
        <v>17</v>
      </c>
      <c r="O176" s="3"/>
      <c r="P176">
        <f>LOG(J176/K137,2)</f>
        <v>0.88255412859131865</v>
      </c>
      <c r="Q176">
        <f t="shared" si="3"/>
        <v>4.6610298840813424</v>
      </c>
    </row>
    <row r="177" spans="1:17" ht="14" x14ac:dyDescent="0.15">
      <c r="A177" s="2">
        <v>45585</v>
      </c>
      <c r="B177" s="3">
        <v>20</v>
      </c>
      <c r="C177" s="3">
        <v>12</v>
      </c>
      <c r="D177" s="3" t="s">
        <v>16</v>
      </c>
      <c r="E177" s="3" t="s">
        <v>27</v>
      </c>
      <c r="F177" s="3">
        <v>1250</v>
      </c>
      <c r="G177" s="8">
        <v>1250</v>
      </c>
      <c r="H177" s="3">
        <v>2</v>
      </c>
      <c r="I177" s="3" t="s">
        <v>25</v>
      </c>
      <c r="J177" s="3">
        <v>5.81</v>
      </c>
      <c r="K177" s="3">
        <v>2.75</v>
      </c>
      <c r="L177" s="3">
        <v>1</v>
      </c>
      <c r="M177" s="3">
        <v>2.75</v>
      </c>
      <c r="N177" s="3" t="s">
        <v>17</v>
      </c>
      <c r="O177" s="3"/>
      <c r="P177">
        <f>LOG(J177/K138,2)</f>
        <v>1.079106544992507</v>
      </c>
      <c r="Q177">
        <f t="shared" si="3"/>
        <v>4.404022934944674</v>
      </c>
    </row>
    <row r="178" spans="1:17" ht="14" x14ac:dyDescent="0.15">
      <c r="A178" s="2">
        <v>45585</v>
      </c>
      <c r="B178" s="3">
        <v>20</v>
      </c>
      <c r="C178" s="3">
        <v>12</v>
      </c>
      <c r="D178" s="3" t="s">
        <v>16</v>
      </c>
      <c r="E178" s="3" t="s">
        <v>27</v>
      </c>
      <c r="F178" s="3">
        <v>1250</v>
      </c>
      <c r="G178" s="8">
        <v>1250</v>
      </c>
      <c r="H178" s="3">
        <v>3</v>
      </c>
      <c r="I178" s="3" t="s">
        <v>25</v>
      </c>
      <c r="J178" s="3">
        <v>5.99</v>
      </c>
      <c r="K178" s="3">
        <v>2.75</v>
      </c>
      <c r="L178" s="3">
        <v>1</v>
      </c>
      <c r="M178" s="3">
        <v>2.75</v>
      </c>
      <c r="N178" s="3" t="s">
        <v>17</v>
      </c>
      <c r="O178" s="3"/>
      <c r="P178">
        <f t="shared" ref="P178:P241" si="6">LOG(J178/K139,2)</f>
        <v>1.1231243843767638</v>
      </c>
      <c r="Q178">
        <f t="shared" si="3"/>
        <v>4.9339156535568618</v>
      </c>
    </row>
    <row r="179" spans="1:17" ht="14" x14ac:dyDescent="0.15">
      <c r="A179" s="2">
        <v>45585</v>
      </c>
      <c r="B179" s="3">
        <v>20</v>
      </c>
      <c r="C179" s="3">
        <v>12</v>
      </c>
      <c r="D179" s="3" t="s">
        <v>16</v>
      </c>
      <c r="E179" s="3" t="s">
        <v>27</v>
      </c>
      <c r="F179" s="3">
        <v>5000</v>
      </c>
      <c r="G179" s="7">
        <v>0</v>
      </c>
      <c r="H179" s="3">
        <v>1</v>
      </c>
      <c r="I179" s="3" t="s">
        <v>25</v>
      </c>
      <c r="J179" s="3">
        <v>3.36</v>
      </c>
      <c r="K179" s="3">
        <v>3.36</v>
      </c>
      <c r="L179" s="3"/>
      <c r="M179" s="3"/>
      <c r="N179" s="3" t="s">
        <v>17</v>
      </c>
      <c r="O179" s="3"/>
      <c r="P179">
        <f>LOG(J179/K101,2)</f>
        <v>1.6374299206152916</v>
      </c>
      <c r="Q179">
        <f t="shared" si="3"/>
        <v>0.28902961436673813</v>
      </c>
    </row>
    <row r="180" spans="1:17" ht="14" x14ac:dyDescent="0.15">
      <c r="A180" s="2">
        <v>45585</v>
      </c>
      <c r="B180" s="3">
        <v>20</v>
      </c>
      <c r="C180" s="3">
        <v>12</v>
      </c>
      <c r="D180" s="3" t="s">
        <v>16</v>
      </c>
      <c r="E180" s="3" t="s">
        <v>27</v>
      </c>
      <c r="F180" s="3">
        <v>5000</v>
      </c>
      <c r="G180" s="7">
        <v>0</v>
      </c>
      <c r="H180" s="3">
        <v>2</v>
      </c>
      <c r="I180" s="3" t="s">
        <v>25</v>
      </c>
      <c r="J180" s="3">
        <v>2.29</v>
      </c>
      <c r="K180" s="3">
        <v>2.29</v>
      </c>
      <c r="L180" s="3"/>
      <c r="M180" s="3"/>
      <c r="N180" s="3" t="s">
        <v>17</v>
      </c>
      <c r="O180" s="3"/>
      <c r="P180">
        <f>LOG(J180/K102,2)</f>
        <v>0.94438602478900058</v>
      </c>
      <c r="Q180">
        <f t="shared" si="3"/>
        <v>-0.26408402031507805</v>
      </c>
    </row>
    <row r="181" spans="1:17" ht="14" x14ac:dyDescent="0.15">
      <c r="A181" s="2">
        <v>45585</v>
      </c>
      <c r="B181" s="3">
        <v>20</v>
      </c>
      <c r="C181" s="3">
        <v>12</v>
      </c>
      <c r="D181" s="3" t="s">
        <v>16</v>
      </c>
      <c r="E181" s="3" t="s">
        <v>27</v>
      </c>
      <c r="F181" s="3">
        <v>5000</v>
      </c>
      <c r="G181" s="7">
        <v>0</v>
      </c>
      <c r="H181" s="3">
        <v>3</v>
      </c>
      <c r="I181" s="3" t="s">
        <v>25</v>
      </c>
      <c r="J181" s="3">
        <v>3.28</v>
      </c>
      <c r="K181" s="3">
        <v>3.28</v>
      </c>
      <c r="L181" s="3"/>
      <c r="M181" s="3"/>
      <c r="N181" s="3" t="s">
        <v>17</v>
      </c>
      <c r="O181" s="3"/>
      <c r="P181">
        <f>LOG(J181/K103,2)</f>
        <v>1.3463247491948294</v>
      </c>
      <c r="Q181">
        <f t="shared" si="3"/>
        <v>0.25426419620606144</v>
      </c>
    </row>
    <row r="182" spans="1:17" ht="14" x14ac:dyDescent="0.15">
      <c r="A182" s="2">
        <v>45585</v>
      </c>
      <c r="B182" s="3">
        <v>20</v>
      </c>
      <c r="C182" s="3">
        <v>12</v>
      </c>
      <c r="D182" s="3" t="s">
        <v>16</v>
      </c>
      <c r="E182" s="3" t="s">
        <v>28</v>
      </c>
      <c r="F182" s="3">
        <v>1500</v>
      </c>
      <c r="G182" s="9">
        <v>1500</v>
      </c>
      <c r="H182" s="3">
        <v>1</v>
      </c>
      <c r="I182" s="3" t="s">
        <v>25</v>
      </c>
      <c r="J182" s="3">
        <v>4.7699999999999996</v>
      </c>
      <c r="K182" s="3">
        <v>2.75</v>
      </c>
      <c r="L182" s="3">
        <v>1</v>
      </c>
      <c r="M182" s="3">
        <v>2.75</v>
      </c>
      <c r="N182" s="3" t="s">
        <v>17</v>
      </c>
      <c r="O182" s="3"/>
      <c r="P182">
        <f t="shared" si="6"/>
        <v>0.79455764759348957</v>
      </c>
      <c r="Q182">
        <f t="shared" ref="Q182:Q245" si="7">P182+Q143</f>
        <v>4.2054000567598822</v>
      </c>
    </row>
    <row r="183" spans="1:17" ht="14" x14ac:dyDescent="0.15">
      <c r="A183" s="2">
        <v>45585</v>
      </c>
      <c r="B183" s="3">
        <v>20</v>
      </c>
      <c r="C183" s="3">
        <v>12</v>
      </c>
      <c r="D183" s="3" t="s">
        <v>16</v>
      </c>
      <c r="E183" s="3" t="s">
        <v>28</v>
      </c>
      <c r="F183" s="3">
        <v>1500</v>
      </c>
      <c r="G183" s="9">
        <v>1500</v>
      </c>
      <c r="H183" s="3">
        <v>2</v>
      </c>
      <c r="I183" s="3" t="s">
        <v>25</v>
      </c>
      <c r="J183" s="3">
        <v>4.95</v>
      </c>
      <c r="K183" s="3">
        <v>2.75</v>
      </c>
      <c r="L183" s="3">
        <v>1</v>
      </c>
      <c r="M183" s="3">
        <v>2.75</v>
      </c>
      <c r="N183" s="3" t="s">
        <v>17</v>
      </c>
      <c r="O183" s="3"/>
      <c r="P183">
        <f t="shared" si="6"/>
        <v>0.84799690655495008</v>
      </c>
      <c r="Q183">
        <f t="shared" si="7"/>
        <v>3.8642700388557958</v>
      </c>
    </row>
    <row r="184" spans="1:17" ht="14" x14ac:dyDescent="0.15">
      <c r="A184" s="2">
        <v>45585</v>
      </c>
      <c r="B184" s="3">
        <v>20</v>
      </c>
      <c r="C184" s="3">
        <v>12</v>
      </c>
      <c r="D184" s="3" t="s">
        <v>16</v>
      </c>
      <c r="E184" s="3" t="s">
        <v>28</v>
      </c>
      <c r="F184" s="3">
        <v>1500</v>
      </c>
      <c r="G184" s="9">
        <v>1500</v>
      </c>
      <c r="H184" s="3">
        <v>3</v>
      </c>
      <c r="I184" s="3" t="s">
        <v>25</v>
      </c>
      <c r="J184" s="3">
        <v>4.07</v>
      </c>
      <c r="K184" s="3">
        <v>2.75</v>
      </c>
      <c r="L184" s="3">
        <v>1</v>
      </c>
      <c r="M184" s="3">
        <v>2.75</v>
      </c>
      <c r="N184" s="3" t="s">
        <v>17</v>
      </c>
      <c r="O184" s="3"/>
      <c r="P184">
        <f t="shared" si="6"/>
        <v>0.56559717585422531</v>
      </c>
      <c r="Q184">
        <f t="shared" si="7"/>
        <v>4.0489698605386426</v>
      </c>
    </row>
    <row r="185" spans="1:17" ht="14" x14ac:dyDescent="0.15">
      <c r="A185" s="2">
        <v>45585</v>
      </c>
      <c r="B185" s="3">
        <v>20</v>
      </c>
      <c r="C185" s="3">
        <v>12</v>
      </c>
      <c r="D185" s="3" t="s">
        <v>16</v>
      </c>
      <c r="E185" s="3" t="s">
        <v>28</v>
      </c>
      <c r="F185" s="3">
        <v>5000</v>
      </c>
      <c r="G185" s="7">
        <v>0</v>
      </c>
      <c r="H185" s="3">
        <v>1</v>
      </c>
      <c r="I185" s="3" t="s">
        <v>25</v>
      </c>
      <c r="J185" s="3">
        <v>0.115</v>
      </c>
      <c r="K185" s="3">
        <v>0.115</v>
      </c>
      <c r="L185" s="3"/>
      <c r="M185" s="3"/>
      <c r="N185" s="3" t="s">
        <v>17</v>
      </c>
      <c r="O185" s="3"/>
      <c r="Q185">
        <f t="shared" si="7"/>
        <v>-0.86488306908694301</v>
      </c>
    </row>
    <row r="186" spans="1:17" ht="14" x14ac:dyDescent="0.15">
      <c r="A186" s="2">
        <v>45585</v>
      </c>
      <c r="B186" s="3">
        <v>20</v>
      </c>
      <c r="C186" s="3">
        <v>12</v>
      </c>
      <c r="D186" s="3" t="s">
        <v>16</v>
      </c>
      <c r="E186" s="3" t="s">
        <v>28</v>
      </c>
      <c r="F186" s="3">
        <v>5000</v>
      </c>
      <c r="G186" s="7">
        <v>0</v>
      </c>
      <c r="H186" s="3">
        <v>2</v>
      </c>
      <c r="I186" s="3" t="s">
        <v>25</v>
      </c>
      <c r="J186" s="3">
        <v>0.183</v>
      </c>
      <c r="K186" s="3">
        <v>0.183</v>
      </c>
      <c r="L186" s="3"/>
      <c r="M186" s="3"/>
      <c r="N186" s="3" t="s">
        <v>17</v>
      </c>
      <c r="O186" s="3"/>
      <c r="Q186">
        <f t="shared" si="7"/>
        <v>-1.1725504708491359</v>
      </c>
    </row>
    <row r="187" spans="1:17" ht="14" x14ac:dyDescent="0.15">
      <c r="A187" s="2">
        <v>45585</v>
      </c>
      <c r="B187" s="3">
        <v>20</v>
      </c>
      <c r="C187" s="3">
        <v>12</v>
      </c>
      <c r="D187" s="3" t="s">
        <v>16</v>
      </c>
      <c r="E187" s="3" t="s">
        <v>28</v>
      </c>
      <c r="F187" s="3">
        <v>5000</v>
      </c>
      <c r="G187" s="7">
        <v>0</v>
      </c>
      <c r="H187" s="3">
        <v>3</v>
      </c>
      <c r="I187" s="3" t="s">
        <v>25</v>
      </c>
      <c r="J187" s="3">
        <v>9.9400000000000002E-2</v>
      </c>
      <c r="K187" s="3">
        <v>9.9400000000000002E-2</v>
      </c>
      <c r="L187" s="3"/>
      <c r="M187" s="3"/>
      <c r="N187" s="3" t="s">
        <v>17</v>
      </c>
      <c r="O187" s="3"/>
      <c r="Q187">
        <f t="shared" si="7"/>
        <v>-1.0371986179542496</v>
      </c>
    </row>
    <row r="188" spans="1:17" ht="14" x14ac:dyDescent="0.15">
      <c r="A188" s="2">
        <v>45585</v>
      </c>
      <c r="B188" s="3">
        <v>20</v>
      </c>
      <c r="C188" s="3">
        <v>12</v>
      </c>
      <c r="D188" s="3" t="s">
        <v>16</v>
      </c>
      <c r="E188" s="3" t="s">
        <v>29</v>
      </c>
      <c r="F188" s="3">
        <v>1000</v>
      </c>
      <c r="G188" s="7">
        <v>0</v>
      </c>
      <c r="H188" s="3">
        <v>1</v>
      </c>
      <c r="I188" s="3" t="s">
        <v>25</v>
      </c>
      <c r="J188" s="3">
        <v>0.81599999999999995</v>
      </c>
      <c r="K188" s="3">
        <v>0.81599999999999995</v>
      </c>
      <c r="L188" s="3"/>
      <c r="M188" s="3"/>
      <c r="N188" s="3" t="s">
        <v>17</v>
      </c>
      <c r="O188" s="3"/>
      <c r="Q188">
        <f t="shared" si="7"/>
        <v>0</v>
      </c>
    </row>
    <row r="189" spans="1:17" ht="14" x14ac:dyDescent="0.15">
      <c r="A189" s="2">
        <v>45585</v>
      </c>
      <c r="B189" s="3">
        <v>20</v>
      </c>
      <c r="C189" s="3">
        <v>12</v>
      </c>
      <c r="D189" s="3" t="s">
        <v>16</v>
      </c>
      <c r="E189" s="3" t="s">
        <v>29</v>
      </c>
      <c r="F189" s="3">
        <v>1000</v>
      </c>
      <c r="G189" s="7">
        <v>0</v>
      </c>
      <c r="H189" s="3">
        <v>2</v>
      </c>
      <c r="I189" s="3" t="s">
        <v>25</v>
      </c>
      <c r="J189" s="3">
        <v>0.82099999999999995</v>
      </c>
      <c r="K189" s="3">
        <v>0.82099999999999995</v>
      </c>
      <c r="L189" s="3"/>
      <c r="M189" s="3"/>
      <c r="N189" s="3" t="s">
        <v>17</v>
      </c>
      <c r="O189" s="3"/>
      <c r="Q189">
        <f t="shared" si="7"/>
        <v>0</v>
      </c>
    </row>
    <row r="190" spans="1:17" ht="14" x14ac:dyDescent="0.15">
      <c r="A190" s="2">
        <v>45585</v>
      </c>
      <c r="B190" s="3">
        <v>20</v>
      </c>
      <c r="C190" s="3">
        <v>12</v>
      </c>
      <c r="D190" s="3" t="s">
        <v>16</v>
      </c>
      <c r="E190" s="3" t="s">
        <v>29</v>
      </c>
      <c r="F190" s="3">
        <v>1000</v>
      </c>
      <c r="G190" s="7">
        <v>0</v>
      </c>
      <c r="H190" s="3">
        <v>3</v>
      </c>
      <c r="I190" s="3" t="s">
        <v>25</v>
      </c>
      <c r="J190" s="3">
        <v>0.64900000000000002</v>
      </c>
      <c r="K190" s="3">
        <v>0.64900000000000002</v>
      </c>
      <c r="L190" s="3"/>
      <c r="M190" s="3"/>
      <c r="N190" s="3" t="s">
        <v>17</v>
      </c>
      <c r="O190" s="3"/>
      <c r="Q190">
        <f t="shared" si="7"/>
        <v>0</v>
      </c>
    </row>
    <row r="191" spans="1:17" ht="14" x14ac:dyDescent="0.15">
      <c r="A191" s="2">
        <v>45585</v>
      </c>
      <c r="B191" s="3">
        <v>20</v>
      </c>
      <c r="C191" s="3">
        <v>12</v>
      </c>
      <c r="D191" s="3" t="s">
        <v>16</v>
      </c>
      <c r="E191" s="3" t="s">
        <v>29</v>
      </c>
      <c r="F191" s="3">
        <v>2500</v>
      </c>
      <c r="G191" s="7">
        <v>0</v>
      </c>
      <c r="H191" s="3">
        <v>1</v>
      </c>
      <c r="I191" s="3" t="s">
        <v>25</v>
      </c>
      <c r="J191" s="3">
        <v>0.68500000000000005</v>
      </c>
      <c r="K191" s="3">
        <v>0.68500000000000005</v>
      </c>
      <c r="L191" s="3"/>
      <c r="M191" s="3"/>
      <c r="N191" s="3" t="s">
        <v>17</v>
      </c>
      <c r="O191" s="3"/>
      <c r="Q191">
        <f t="shared" si="7"/>
        <v>0</v>
      </c>
    </row>
    <row r="192" spans="1:17" ht="14" x14ac:dyDescent="0.15">
      <c r="A192" s="2">
        <v>45585</v>
      </c>
      <c r="B192" s="3">
        <v>20</v>
      </c>
      <c r="C192" s="3">
        <v>12</v>
      </c>
      <c r="D192" s="3" t="s">
        <v>16</v>
      </c>
      <c r="E192" s="3" t="s">
        <v>29</v>
      </c>
      <c r="F192" s="3">
        <v>2500</v>
      </c>
      <c r="G192" s="7">
        <v>0</v>
      </c>
      <c r="H192" s="3">
        <v>2</v>
      </c>
      <c r="I192" s="3" t="s">
        <v>25</v>
      </c>
      <c r="J192" s="3">
        <v>0.65900000000000003</v>
      </c>
      <c r="K192" s="3">
        <v>0.65900000000000003</v>
      </c>
      <c r="L192" s="3"/>
      <c r="M192" s="3"/>
      <c r="N192" s="3" t="s">
        <v>17</v>
      </c>
      <c r="O192" s="3"/>
      <c r="Q192">
        <f t="shared" si="7"/>
        <v>0</v>
      </c>
    </row>
    <row r="193" spans="1:17" ht="14" x14ac:dyDescent="0.15">
      <c r="A193" s="2">
        <v>45585</v>
      </c>
      <c r="B193" s="3">
        <v>20</v>
      </c>
      <c r="C193" s="3">
        <v>12</v>
      </c>
      <c r="D193" s="3" t="s">
        <v>16</v>
      </c>
      <c r="E193" s="3" t="s">
        <v>29</v>
      </c>
      <c r="F193" s="3">
        <v>2500</v>
      </c>
      <c r="G193" s="7">
        <v>0</v>
      </c>
      <c r="H193" s="3">
        <v>3</v>
      </c>
      <c r="I193" s="3" t="s">
        <v>25</v>
      </c>
      <c r="J193" s="3">
        <v>0.60199999999999998</v>
      </c>
      <c r="K193" s="3">
        <v>0.60199999999999998</v>
      </c>
      <c r="L193" s="3"/>
      <c r="M193" s="3"/>
      <c r="N193" s="3" t="s">
        <v>17</v>
      </c>
      <c r="O193" s="3"/>
      <c r="Q193">
        <f t="shared" si="7"/>
        <v>0</v>
      </c>
    </row>
    <row r="194" spans="1:17" ht="14" x14ac:dyDescent="0.15">
      <c r="A194" s="2">
        <v>45585</v>
      </c>
      <c r="B194" s="3">
        <v>20</v>
      </c>
      <c r="C194" s="3">
        <v>12</v>
      </c>
      <c r="D194" s="3" t="s">
        <v>16</v>
      </c>
      <c r="E194" s="3" t="s">
        <v>30</v>
      </c>
      <c r="F194" s="3">
        <v>2000</v>
      </c>
      <c r="G194" s="10">
        <v>2000</v>
      </c>
      <c r="H194" s="3">
        <v>1</v>
      </c>
      <c r="I194" s="3" t="s">
        <v>25</v>
      </c>
      <c r="J194" s="3">
        <v>4.8899999999999997</v>
      </c>
      <c r="K194" s="3">
        <v>2.75</v>
      </c>
      <c r="L194" s="3">
        <v>1</v>
      </c>
      <c r="M194" s="3">
        <v>2.75</v>
      </c>
      <c r="N194" s="3" t="s">
        <v>17</v>
      </c>
      <c r="O194" s="3"/>
      <c r="P194">
        <f t="shared" si="6"/>
        <v>0.83040284654021168</v>
      </c>
      <c r="Q194">
        <f t="shared" si="7"/>
        <v>4.5275156427105943</v>
      </c>
    </row>
    <row r="195" spans="1:17" ht="14" x14ac:dyDescent="0.15">
      <c r="A195" s="2">
        <v>45585</v>
      </c>
      <c r="B195" s="3">
        <v>20</v>
      </c>
      <c r="C195" s="3">
        <v>12</v>
      </c>
      <c r="D195" s="3" t="s">
        <v>16</v>
      </c>
      <c r="E195" s="3" t="s">
        <v>30</v>
      </c>
      <c r="F195" s="3">
        <v>2000</v>
      </c>
      <c r="G195" s="10">
        <v>2000</v>
      </c>
      <c r="H195" s="3">
        <v>2</v>
      </c>
      <c r="I195" s="3" t="s">
        <v>25</v>
      </c>
      <c r="J195" s="3">
        <v>4.92</v>
      </c>
      <c r="K195" s="3">
        <v>2.75</v>
      </c>
      <c r="L195" s="3">
        <v>1</v>
      </c>
      <c r="M195" s="3">
        <v>2.75</v>
      </c>
      <c r="N195" s="3" t="s">
        <v>17</v>
      </c>
      <c r="O195" s="3"/>
      <c r="P195">
        <f t="shared" si="6"/>
        <v>0.83922669692721796</v>
      </c>
      <c r="Q195">
        <f t="shared" si="7"/>
        <v>4.2743764923794973</v>
      </c>
    </row>
    <row r="196" spans="1:17" ht="14" x14ac:dyDescent="0.15">
      <c r="A196" s="2">
        <v>45585</v>
      </c>
      <c r="B196" s="3">
        <v>20</v>
      </c>
      <c r="C196" s="3">
        <v>12</v>
      </c>
      <c r="D196" s="3" t="s">
        <v>16</v>
      </c>
      <c r="E196" s="3" t="s">
        <v>30</v>
      </c>
      <c r="F196" s="3">
        <v>2000</v>
      </c>
      <c r="G196" s="10">
        <v>2000</v>
      </c>
      <c r="H196" s="3">
        <v>3</v>
      </c>
      <c r="I196" s="3" t="s">
        <v>25</v>
      </c>
      <c r="J196" s="3">
        <v>5.22</v>
      </c>
      <c r="K196" s="3">
        <v>2.75</v>
      </c>
      <c r="L196" s="3">
        <v>1</v>
      </c>
      <c r="M196" s="3">
        <v>2.75</v>
      </c>
      <c r="N196" s="3" t="s">
        <v>17</v>
      </c>
      <c r="O196" s="3"/>
      <c r="P196">
        <f t="shared" si="6"/>
        <v>0.92461818815786256</v>
      </c>
      <c r="Q196">
        <f t="shared" si="7"/>
        <v>4.4574039160400307</v>
      </c>
    </row>
    <row r="197" spans="1:17" ht="42" x14ac:dyDescent="0.15">
      <c r="A197" s="2">
        <v>45585</v>
      </c>
      <c r="B197" s="3">
        <v>20</v>
      </c>
      <c r="C197" s="3">
        <v>12</v>
      </c>
      <c r="D197" s="3" t="s">
        <v>16</v>
      </c>
      <c r="E197" s="3" t="s">
        <v>30</v>
      </c>
      <c r="F197" s="3">
        <v>15000</v>
      </c>
      <c r="G197" s="7">
        <v>4000</v>
      </c>
      <c r="H197" s="3">
        <v>1</v>
      </c>
      <c r="I197" s="3" t="s">
        <v>25</v>
      </c>
      <c r="J197" s="3">
        <v>5.07</v>
      </c>
      <c r="K197" s="3">
        <v>2.75</v>
      </c>
      <c r="L197" s="3">
        <v>1</v>
      </c>
      <c r="M197" s="3">
        <v>2.75</v>
      </c>
      <c r="N197" s="3" t="s">
        <v>17</v>
      </c>
      <c r="O197" s="3" t="s">
        <v>36</v>
      </c>
      <c r="P197">
        <f>LOG(J197/K119,2)</f>
        <v>1.072952600773379</v>
      </c>
      <c r="Q197">
        <f t="shared" si="7"/>
        <v>0.88255412859131877</v>
      </c>
    </row>
    <row r="198" spans="1:17" ht="42" x14ac:dyDescent="0.15">
      <c r="A198" s="2">
        <v>45585</v>
      </c>
      <c r="B198" s="3">
        <v>20</v>
      </c>
      <c r="C198" s="3">
        <v>12</v>
      </c>
      <c r="D198" s="3" t="s">
        <v>16</v>
      </c>
      <c r="E198" s="3" t="s">
        <v>30</v>
      </c>
      <c r="F198" s="3">
        <v>15000</v>
      </c>
      <c r="G198" s="7">
        <v>4000</v>
      </c>
      <c r="H198" s="3">
        <v>2</v>
      </c>
      <c r="I198" s="3" t="s">
        <v>25</v>
      </c>
      <c r="J198" s="3">
        <v>5.49</v>
      </c>
      <c r="K198" s="3">
        <v>2.75</v>
      </c>
      <c r="L198" s="3">
        <v>1</v>
      </c>
      <c r="M198" s="3">
        <v>2.75</v>
      </c>
      <c r="N198" s="3" t="s">
        <v>17</v>
      </c>
      <c r="O198" s="3" t="s">
        <v>36</v>
      </c>
      <c r="P198">
        <f>LOG(J198/K120,2)</f>
        <v>1.1406604069371178</v>
      </c>
      <c r="Q198">
        <f t="shared" si="7"/>
        <v>0.99737453059317682</v>
      </c>
    </row>
    <row r="199" spans="1:17" ht="42" x14ac:dyDescent="0.15">
      <c r="A199" s="2">
        <v>45585</v>
      </c>
      <c r="B199" s="3">
        <v>20</v>
      </c>
      <c r="C199" s="3">
        <v>12</v>
      </c>
      <c r="D199" s="3" t="s">
        <v>16</v>
      </c>
      <c r="E199" s="3" t="s">
        <v>30</v>
      </c>
      <c r="F199" s="3">
        <v>15000</v>
      </c>
      <c r="G199" s="7">
        <v>4000</v>
      </c>
      <c r="H199" s="3">
        <v>3</v>
      </c>
      <c r="I199" s="3" t="s">
        <v>25</v>
      </c>
      <c r="J199" s="3">
        <v>5.19</v>
      </c>
      <c r="K199" s="3">
        <v>2.75</v>
      </c>
      <c r="L199" s="3">
        <v>1</v>
      </c>
      <c r="M199" s="3">
        <v>2.75</v>
      </c>
      <c r="N199" s="3" t="s">
        <v>17</v>
      </c>
      <c r="O199" s="3" t="s">
        <v>36</v>
      </c>
      <c r="P199">
        <f>LOG(J199/K121,2)</f>
        <v>0.9806717390655787</v>
      </c>
      <c r="Q199">
        <f t="shared" si="7"/>
        <v>0.916302919945859</v>
      </c>
    </row>
    <row r="200" spans="1:17" ht="14" x14ac:dyDescent="0.15">
      <c r="A200" s="2">
        <v>45585</v>
      </c>
      <c r="B200" s="3">
        <v>20</v>
      </c>
      <c r="C200" s="3">
        <v>12</v>
      </c>
      <c r="D200" s="3" t="s">
        <v>16</v>
      </c>
      <c r="E200" s="3" t="s">
        <v>31</v>
      </c>
      <c r="F200" s="3">
        <v>4000</v>
      </c>
      <c r="G200" s="11">
        <v>4000</v>
      </c>
      <c r="H200" s="3">
        <v>1</v>
      </c>
      <c r="I200" s="3" t="s">
        <v>25</v>
      </c>
      <c r="J200" s="3">
        <v>6.72</v>
      </c>
      <c r="K200" s="3">
        <v>2.75</v>
      </c>
      <c r="L200" s="3">
        <v>1</v>
      </c>
      <c r="M200" s="3">
        <v>2.75</v>
      </c>
      <c r="N200" s="3" t="s">
        <v>17</v>
      </c>
      <c r="O200" s="3"/>
      <c r="P200">
        <f t="shared" si="6"/>
        <v>1.2890296143667381</v>
      </c>
      <c r="Q200">
        <f t="shared" si="7"/>
        <v>5.3530222385985207</v>
      </c>
    </row>
    <row r="201" spans="1:17" ht="14" x14ac:dyDescent="0.15">
      <c r="A201" s="2">
        <v>45585</v>
      </c>
      <c r="B201" s="3">
        <v>20</v>
      </c>
      <c r="C201" s="3">
        <v>12</v>
      </c>
      <c r="D201" s="3" t="s">
        <v>16</v>
      </c>
      <c r="E201" s="3" t="s">
        <v>31</v>
      </c>
      <c r="F201" s="3">
        <v>4000</v>
      </c>
      <c r="G201" s="11">
        <v>4000</v>
      </c>
      <c r="H201" s="3">
        <v>2</v>
      </c>
      <c r="I201" s="3" t="s">
        <v>25</v>
      </c>
      <c r="J201" s="3">
        <v>6.83</v>
      </c>
      <c r="K201" s="3">
        <v>2.75</v>
      </c>
      <c r="L201" s="3">
        <v>1</v>
      </c>
      <c r="M201" s="3">
        <v>2.75</v>
      </c>
      <c r="N201" s="3" t="s">
        <v>17</v>
      </c>
      <c r="O201" s="3"/>
      <c r="P201">
        <f t="shared" si="6"/>
        <v>1.3124539598780687</v>
      </c>
      <c r="Q201">
        <f t="shared" si="7"/>
        <v>5.3022189549555137</v>
      </c>
    </row>
    <row r="202" spans="1:17" ht="14" x14ac:dyDescent="0.15">
      <c r="A202" s="2">
        <v>45585</v>
      </c>
      <c r="B202" s="3">
        <v>20</v>
      </c>
      <c r="C202" s="3">
        <v>12</v>
      </c>
      <c r="D202" s="3" t="s">
        <v>16</v>
      </c>
      <c r="E202" s="3" t="s">
        <v>31</v>
      </c>
      <c r="F202" s="3">
        <v>4000</v>
      </c>
      <c r="G202" s="11">
        <v>4000</v>
      </c>
      <c r="H202" s="3">
        <v>3</v>
      </c>
      <c r="I202" s="3" t="s">
        <v>25</v>
      </c>
      <c r="J202" s="3">
        <v>6.31</v>
      </c>
      <c r="K202" s="3">
        <v>2.75</v>
      </c>
      <c r="L202" s="3">
        <v>1</v>
      </c>
      <c r="M202" s="3">
        <v>2.75</v>
      </c>
      <c r="N202" s="3" t="s">
        <v>17</v>
      </c>
      <c r="O202" s="3"/>
      <c r="P202">
        <f t="shared" si="6"/>
        <v>1.1982083865705271</v>
      </c>
      <c r="Q202">
        <f t="shared" si="7"/>
        <v>5.017504980872169</v>
      </c>
    </row>
    <row r="203" spans="1:17" ht="14" x14ac:dyDescent="0.15">
      <c r="A203" s="2">
        <v>45585</v>
      </c>
      <c r="B203" s="3">
        <v>20</v>
      </c>
      <c r="C203" s="3">
        <v>12</v>
      </c>
      <c r="D203" s="3" t="s">
        <v>16</v>
      </c>
      <c r="E203" s="3" t="s">
        <v>31</v>
      </c>
      <c r="F203" s="3">
        <v>8000</v>
      </c>
      <c r="G203" s="12">
        <v>8000</v>
      </c>
      <c r="H203" s="3">
        <v>1</v>
      </c>
      <c r="I203" s="3" t="s">
        <v>25</v>
      </c>
      <c r="J203" s="3">
        <v>4.55</v>
      </c>
      <c r="K203" s="3">
        <v>4.55</v>
      </c>
      <c r="L203" s="3"/>
      <c r="M203" s="3"/>
      <c r="N203" s="3" t="s">
        <v>17</v>
      </c>
      <c r="O203" s="3"/>
      <c r="P203">
        <f t="shared" si="6"/>
        <v>0.70043971814109218</v>
      </c>
      <c r="Q203">
        <f t="shared" si="7"/>
        <v>3.0147890954978305</v>
      </c>
    </row>
    <row r="204" spans="1:17" ht="14" x14ac:dyDescent="0.15">
      <c r="A204" s="2">
        <v>45585</v>
      </c>
      <c r="B204" s="3">
        <v>20</v>
      </c>
      <c r="C204" s="3">
        <v>12</v>
      </c>
      <c r="D204" s="3" t="s">
        <v>16</v>
      </c>
      <c r="E204" s="3" t="s">
        <v>31</v>
      </c>
      <c r="F204" s="3">
        <v>8000</v>
      </c>
      <c r="G204" s="12">
        <v>8000</v>
      </c>
      <c r="H204" s="3">
        <v>2</v>
      </c>
      <c r="I204" s="3" t="s">
        <v>25</v>
      </c>
      <c r="J204" s="3">
        <v>1.25</v>
      </c>
      <c r="K204" s="3">
        <v>1.25</v>
      </c>
      <c r="L204" s="3"/>
      <c r="M204" s="3"/>
      <c r="N204" s="3" t="s">
        <v>17</v>
      </c>
      <c r="O204" s="3"/>
      <c r="P204">
        <f t="shared" si="6"/>
        <v>-0.80240004011483934</v>
      </c>
      <c r="Q204">
        <f t="shared" si="7"/>
        <v>0.94837730716100654</v>
      </c>
    </row>
    <row r="205" spans="1:17" ht="14" x14ac:dyDescent="0.15">
      <c r="A205" s="2">
        <v>45585</v>
      </c>
      <c r="B205" s="3">
        <v>20</v>
      </c>
      <c r="C205" s="3">
        <v>12</v>
      </c>
      <c r="D205" s="3" t="s">
        <v>16</v>
      </c>
      <c r="E205" s="3" t="s">
        <v>31</v>
      </c>
      <c r="F205" s="3">
        <v>8000</v>
      </c>
      <c r="G205" s="12">
        <v>8000</v>
      </c>
      <c r="H205" s="3">
        <v>3</v>
      </c>
      <c r="I205" s="3" t="s">
        <v>25</v>
      </c>
      <c r="J205" s="3">
        <v>3.46</v>
      </c>
      <c r="K205" s="3">
        <v>3.46</v>
      </c>
      <c r="L205" s="3"/>
      <c r="M205" s="3"/>
      <c r="N205" s="3" t="s">
        <v>17</v>
      </c>
      <c r="O205" s="3"/>
      <c r="P205">
        <f t="shared" si="6"/>
        <v>-1.2454998572927735E-2</v>
      </c>
      <c r="Q205">
        <f t="shared" si="7"/>
        <v>2.4572384860428946</v>
      </c>
    </row>
    <row r="206" spans="1:17" ht="14" x14ac:dyDescent="0.15">
      <c r="A206" s="2">
        <v>45585</v>
      </c>
      <c r="B206" s="3">
        <v>20</v>
      </c>
      <c r="C206" s="3">
        <v>12</v>
      </c>
      <c r="D206" s="3" t="s">
        <v>16</v>
      </c>
      <c r="E206" s="3" t="s">
        <v>32</v>
      </c>
      <c r="F206" s="5">
        <v>0.01</v>
      </c>
      <c r="G206" s="13">
        <v>0.01</v>
      </c>
      <c r="H206" s="3">
        <v>1</v>
      </c>
      <c r="I206" s="3" t="s">
        <v>25</v>
      </c>
      <c r="J206" s="3">
        <v>6.73</v>
      </c>
      <c r="K206" s="3">
        <v>2.75</v>
      </c>
      <c r="L206" s="3">
        <v>1</v>
      </c>
      <c r="M206" s="3">
        <v>2.75</v>
      </c>
      <c r="N206" s="3" t="s">
        <v>17</v>
      </c>
      <c r="O206" s="3"/>
      <c r="P206">
        <f t="shared" si="6"/>
        <v>1.2911748861982952</v>
      </c>
      <c r="Q206">
        <f t="shared" si="7"/>
        <v>6.0364030425802255</v>
      </c>
    </row>
    <row r="207" spans="1:17" ht="14" x14ac:dyDescent="0.15">
      <c r="A207" s="2">
        <v>45585</v>
      </c>
      <c r="B207" s="3">
        <v>20</v>
      </c>
      <c r="C207" s="3">
        <v>12</v>
      </c>
      <c r="D207" s="3" t="s">
        <v>16</v>
      </c>
      <c r="E207" s="3" t="s">
        <v>32</v>
      </c>
      <c r="F207" s="5">
        <v>0.01</v>
      </c>
      <c r="G207" s="13">
        <v>0.01</v>
      </c>
      <c r="H207" s="3">
        <v>2</v>
      </c>
      <c r="I207" s="3" t="s">
        <v>25</v>
      </c>
      <c r="J207" s="3">
        <v>7.06</v>
      </c>
      <c r="K207" s="3">
        <v>2.75</v>
      </c>
      <c r="L207" s="3">
        <v>1</v>
      </c>
      <c r="M207" s="3">
        <v>2.75</v>
      </c>
      <c r="N207" s="3" t="s">
        <v>17</v>
      </c>
      <c r="O207" s="3"/>
      <c r="P207">
        <f t="shared" si="6"/>
        <v>1.3602365648591583</v>
      </c>
      <c r="Q207">
        <f t="shared" si="7"/>
        <v>5.7293620066132966</v>
      </c>
    </row>
    <row r="208" spans="1:17" ht="14" x14ac:dyDescent="0.15">
      <c r="A208" s="2">
        <v>45585</v>
      </c>
      <c r="B208" s="3">
        <v>20</v>
      </c>
      <c r="C208" s="3">
        <v>12</v>
      </c>
      <c r="D208" s="3" t="s">
        <v>16</v>
      </c>
      <c r="E208" s="3" t="s">
        <v>32</v>
      </c>
      <c r="F208" s="5">
        <v>0.01</v>
      </c>
      <c r="G208" s="13">
        <v>0.01</v>
      </c>
      <c r="H208" s="3">
        <v>3</v>
      </c>
      <c r="I208" s="3" t="s">
        <v>25</v>
      </c>
      <c r="J208" s="3">
        <v>6.26</v>
      </c>
      <c r="K208" s="3">
        <v>2.75</v>
      </c>
      <c r="L208" s="3">
        <v>1</v>
      </c>
      <c r="M208" s="3">
        <v>2.75</v>
      </c>
      <c r="N208" s="3" t="s">
        <v>17</v>
      </c>
      <c r="O208" s="3"/>
      <c r="P208">
        <f t="shared" si="6"/>
        <v>1.1867310385205965</v>
      </c>
      <c r="Q208">
        <f t="shared" si="7"/>
        <v>5.3857386371095624</v>
      </c>
    </row>
    <row r="209" spans="1:17" ht="14" x14ac:dyDescent="0.15">
      <c r="A209" s="2">
        <v>45588</v>
      </c>
      <c r="B209" s="3">
        <v>23</v>
      </c>
      <c r="C209" s="3">
        <v>15</v>
      </c>
      <c r="D209" s="3" t="s">
        <v>16</v>
      </c>
      <c r="E209" s="3" t="s">
        <v>24</v>
      </c>
      <c r="F209" s="3">
        <v>100</v>
      </c>
      <c r="G209" s="6">
        <v>100</v>
      </c>
      <c r="H209" s="3">
        <v>1</v>
      </c>
      <c r="I209" s="3" t="s">
        <v>25</v>
      </c>
      <c r="J209" s="3">
        <v>5.14</v>
      </c>
      <c r="K209" s="3">
        <v>2.75</v>
      </c>
      <c r="L209" s="3">
        <v>1</v>
      </c>
      <c r="M209" s="3">
        <v>2.75</v>
      </c>
      <c r="N209" s="3" t="s">
        <v>17</v>
      </c>
      <c r="O209" s="3"/>
      <c r="P209">
        <f t="shared" si="6"/>
        <v>0.90233674078185599</v>
      </c>
      <c r="Q209">
        <f t="shared" si="7"/>
        <v>5.055638842975255</v>
      </c>
    </row>
    <row r="210" spans="1:17" ht="14" x14ac:dyDescent="0.15">
      <c r="A210" s="2">
        <v>45588</v>
      </c>
      <c r="B210" s="3">
        <v>23</v>
      </c>
      <c r="C210" s="3">
        <v>15</v>
      </c>
      <c r="D210" s="3" t="s">
        <v>16</v>
      </c>
      <c r="E210" s="3" t="s">
        <v>24</v>
      </c>
      <c r="F210" s="3">
        <v>100</v>
      </c>
      <c r="G210" s="6">
        <v>100</v>
      </c>
      <c r="H210" s="3">
        <v>2</v>
      </c>
      <c r="I210" s="3" t="s">
        <v>25</v>
      </c>
      <c r="J210" s="3">
        <v>5.05</v>
      </c>
      <c r="K210" s="3">
        <v>2.75</v>
      </c>
      <c r="L210" s="3">
        <v>1</v>
      </c>
      <c r="M210" s="3">
        <v>2.75</v>
      </c>
      <c r="N210" s="3" t="s">
        <v>17</v>
      </c>
      <c r="O210" s="3"/>
      <c r="P210">
        <f t="shared" si="6"/>
        <v>0.87685176922713493</v>
      </c>
      <c r="Q210">
        <f t="shared" si="7"/>
        <v>4.7046941587045419</v>
      </c>
    </row>
    <row r="211" spans="1:17" ht="14" x14ac:dyDescent="0.15">
      <c r="A211" s="2">
        <v>45588</v>
      </c>
      <c r="B211" s="3">
        <v>23</v>
      </c>
      <c r="C211" s="3">
        <v>15</v>
      </c>
      <c r="D211" s="3" t="s">
        <v>16</v>
      </c>
      <c r="E211" s="3" t="s">
        <v>24</v>
      </c>
      <c r="F211" s="3">
        <v>100</v>
      </c>
      <c r="G211" s="6">
        <v>100</v>
      </c>
      <c r="H211" s="3">
        <v>3</v>
      </c>
      <c r="I211" s="3" t="s">
        <v>25</v>
      </c>
      <c r="J211" s="3">
        <v>5.44</v>
      </c>
      <c r="K211" s="3">
        <v>2.75</v>
      </c>
      <c r="L211" s="3">
        <v>1</v>
      </c>
      <c r="M211" s="3">
        <v>2.75</v>
      </c>
      <c r="N211" s="3" t="s">
        <v>17</v>
      </c>
      <c r="O211" s="3"/>
      <c r="P211">
        <f t="shared" si="6"/>
        <v>0.98417503283831753</v>
      </c>
      <c r="Q211">
        <f t="shared" si="7"/>
        <v>5.1828340891025579</v>
      </c>
    </row>
    <row r="212" spans="1:17" ht="14" x14ac:dyDescent="0.15">
      <c r="A212" s="2">
        <v>45588</v>
      </c>
      <c r="B212" s="3">
        <v>23</v>
      </c>
      <c r="C212" s="3">
        <v>15</v>
      </c>
      <c r="D212" s="3" t="s">
        <v>16</v>
      </c>
      <c r="E212" s="3" t="s">
        <v>24</v>
      </c>
      <c r="F212" s="3">
        <v>1000</v>
      </c>
      <c r="G212" s="7">
        <v>200</v>
      </c>
      <c r="H212" s="3">
        <v>1</v>
      </c>
      <c r="I212" s="3" t="s">
        <v>25</v>
      </c>
      <c r="J212" s="3">
        <v>7.09</v>
      </c>
      <c r="K212" s="3">
        <v>2.75</v>
      </c>
      <c r="L212" s="3">
        <v>1</v>
      </c>
      <c r="M212" s="3">
        <v>2.75</v>
      </c>
      <c r="N212" s="3" t="s">
        <v>17</v>
      </c>
      <c r="O212" s="3"/>
      <c r="P212">
        <f t="shared" si="6"/>
        <v>0.9539419789554735</v>
      </c>
      <c r="Q212">
        <f t="shared" si="7"/>
        <v>1.3663540088274941</v>
      </c>
    </row>
    <row r="213" spans="1:17" ht="14" x14ac:dyDescent="0.15">
      <c r="A213" s="2">
        <v>45588</v>
      </c>
      <c r="B213" s="3">
        <v>23</v>
      </c>
      <c r="C213" s="3">
        <v>15</v>
      </c>
      <c r="D213" s="3" t="s">
        <v>16</v>
      </c>
      <c r="E213" s="3" t="s">
        <v>24</v>
      </c>
      <c r="F213" s="3">
        <v>1000</v>
      </c>
      <c r="G213" s="7">
        <v>200</v>
      </c>
      <c r="H213" s="3">
        <v>2</v>
      </c>
      <c r="I213" s="3" t="s">
        <v>25</v>
      </c>
      <c r="J213" s="3">
        <v>7.17</v>
      </c>
      <c r="K213" s="3">
        <v>2.75</v>
      </c>
      <c r="L213" s="3">
        <v>1</v>
      </c>
      <c r="M213" s="3">
        <v>2.75</v>
      </c>
      <c r="N213" s="3" t="s">
        <v>17</v>
      </c>
      <c r="O213" s="3"/>
      <c r="P213">
        <f t="shared" si="6"/>
        <v>1.186621290314626</v>
      </c>
      <c r="Q213">
        <f t="shared" si="7"/>
        <v>1.3825415002898829</v>
      </c>
    </row>
    <row r="214" spans="1:17" ht="14" x14ac:dyDescent="0.15">
      <c r="A214" s="2">
        <v>45588</v>
      </c>
      <c r="B214" s="3">
        <v>23</v>
      </c>
      <c r="C214" s="3">
        <v>15</v>
      </c>
      <c r="D214" s="3" t="s">
        <v>16</v>
      </c>
      <c r="E214" s="3" t="s">
        <v>24</v>
      </c>
      <c r="F214" s="3">
        <v>1000</v>
      </c>
      <c r="G214" s="7">
        <v>200</v>
      </c>
      <c r="H214" s="3">
        <v>3</v>
      </c>
      <c r="I214" s="3" t="s">
        <v>25</v>
      </c>
      <c r="J214" s="3">
        <v>7.55</v>
      </c>
      <c r="K214" s="3">
        <v>2.75</v>
      </c>
      <c r="L214" s="3">
        <v>1</v>
      </c>
      <c r="M214" s="3">
        <v>2.75</v>
      </c>
      <c r="N214" s="3" t="s">
        <v>17</v>
      </c>
      <c r="O214" s="3"/>
      <c r="P214">
        <f t="shared" si="6"/>
        <v>1.1983890604771998</v>
      </c>
      <c r="Q214">
        <f t="shared" si="7"/>
        <v>1.4570450258004195</v>
      </c>
    </row>
    <row r="215" spans="1:17" ht="14" x14ac:dyDescent="0.15">
      <c r="A215" s="2">
        <v>45588</v>
      </c>
      <c r="B215" s="3">
        <v>23</v>
      </c>
      <c r="C215" s="3">
        <v>15</v>
      </c>
      <c r="D215" s="3" t="s">
        <v>16</v>
      </c>
      <c r="E215" s="3" t="s">
        <v>27</v>
      </c>
      <c r="F215" s="3">
        <v>1250</v>
      </c>
      <c r="G215" s="8">
        <v>1250</v>
      </c>
      <c r="H215" s="3">
        <v>1</v>
      </c>
      <c r="I215" s="3" t="s">
        <v>25</v>
      </c>
      <c r="J215" s="3">
        <v>4.99</v>
      </c>
      <c r="K215" s="3">
        <v>2.75</v>
      </c>
      <c r="L215" s="3">
        <v>1</v>
      </c>
      <c r="M215" s="3">
        <v>2.75</v>
      </c>
      <c r="N215" s="3" t="s">
        <v>17</v>
      </c>
      <c r="O215" s="3"/>
      <c r="P215">
        <f t="shared" si="6"/>
        <v>0.85960819692523871</v>
      </c>
      <c r="Q215">
        <f t="shared" si="7"/>
        <v>5.5206380810065809</v>
      </c>
    </row>
    <row r="216" spans="1:17" ht="14" x14ac:dyDescent="0.15">
      <c r="A216" s="2">
        <v>45588</v>
      </c>
      <c r="B216" s="3">
        <v>23</v>
      </c>
      <c r="C216" s="3">
        <v>15</v>
      </c>
      <c r="D216" s="3" t="s">
        <v>16</v>
      </c>
      <c r="E216" s="3" t="s">
        <v>27</v>
      </c>
      <c r="F216" s="3">
        <v>1250</v>
      </c>
      <c r="G216" s="8">
        <v>1250</v>
      </c>
      <c r="H216" s="3">
        <v>2</v>
      </c>
      <c r="I216" s="3" t="s">
        <v>25</v>
      </c>
      <c r="J216" s="3">
        <v>5.92</v>
      </c>
      <c r="K216" s="3">
        <v>2.75</v>
      </c>
      <c r="L216" s="3">
        <v>1</v>
      </c>
      <c r="M216" s="3">
        <v>2.75</v>
      </c>
      <c r="N216" s="3" t="s">
        <v>17</v>
      </c>
      <c r="O216" s="3"/>
      <c r="P216">
        <f t="shared" si="6"/>
        <v>1.106165557216928</v>
      </c>
      <c r="Q216">
        <f t="shared" si="7"/>
        <v>5.5101884921616016</v>
      </c>
    </row>
    <row r="217" spans="1:17" ht="14" x14ac:dyDescent="0.15">
      <c r="A217" s="2">
        <v>45588</v>
      </c>
      <c r="B217" s="3">
        <v>23</v>
      </c>
      <c r="C217" s="3">
        <v>15</v>
      </c>
      <c r="D217" s="3" t="s">
        <v>16</v>
      </c>
      <c r="E217" s="3" t="s">
        <v>27</v>
      </c>
      <c r="F217" s="3">
        <v>1250</v>
      </c>
      <c r="G217" s="8">
        <v>1250</v>
      </c>
      <c r="H217" s="3">
        <v>3</v>
      </c>
      <c r="I217" s="3" t="s">
        <v>25</v>
      </c>
      <c r="J217" s="3">
        <v>5.52</v>
      </c>
      <c r="K217" s="3">
        <v>2.75</v>
      </c>
      <c r="L217" s="3">
        <v>1</v>
      </c>
      <c r="M217" s="3">
        <v>2.75</v>
      </c>
      <c r="N217" s="3" t="s">
        <v>17</v>
      </c>
      <c r="O217" s="3"/>
      <c r="P217">
        <f t="shared" si="6"/>
        <v>1.0052366483661472</v>
      </c>
      <c r="Q217">
        <f t="shared" si="7"/>
        <v>5.9391523019230092</v>
      </c>
    </row>
    <row r="218" spans="1:17" ht="14" x14ac:dyDescent="0.15">
      <c r="A218" s="2">
        <v>45588</v>
      </c>
      <c r="B218" s="3">
        <v>23</v>
      </c>
      <c r="C218" s="3">
        <v>15</v>
      </c>
      <c r="D218" s="3" t="s">
        <v>16</v>
      </c>
      <c r="E218" s="3" t="s">
        <v>27</v>
      </c>
      <c r="F218" s="3">
        <v>5000</v>
      </c>
      <c r="G218" s="7">
        <v>2000</v>
      </c>
      <c r="H218" s="3">
        <v>1</v>
      </c>
      <c r="I218" s="3" t="s">
        <v>25</v>
      </c>
      <c r="J218" s="3">
        <v>6.51</v>
      </c>
      <c r="K218" s="3">
        <v>2.75</v>
      </c>
      <c r="L218" s="3">
        <v>1</v>
      </c>
      <c r="M218" s="3">
        <v>2.75</v>
      </c>
      <c r="N218" s="3" t="s">
        <v>17</v>
      </c>
      <c r="O218" s="3"/>
      <c r="P218">
        <f t="shared" si="6"/>
        <v>0.95419631038687525</v>
      </c>
      <c r="Q218">
        <f t="shared" si="7"/>
        <v>1.2432259247536135</v>
      </c>
    </row>
    <row r="219" spans="1:17" ht="14" x14ac:dyDescent="0.15">
      <c r="A219" s="2">
        <v>45588</v>
      </c>
      <c r="B219" s="3">
        <v>23</v>
      </c>
      <c r="C219" s="3">
        <v>15</v>
      </c>
      <c r="D219" s="3" t="s">
        <v>16</v>
      </c>
      <c r="E219" s="3" t="s">
        <v>27</v>
      </c>
      <c r="F219" s="3">
        <v>5000</v>
      </c>
      <c r="G219" s="7">
        <v>2000</v>
      </c>
      <c r="H219" s="3">
        <v>2</v>
      </c>
      <c r="I219" s="3" t="s">
        <v>25</v>
      </c>
      <c r="J219" s="3">
        <v>9.02</v>
      </c>
      <c r="K219" s="3">
        <v>2.75</v>
      </c>
      <c r="L219" s="3">
        <v>1</v>
      </c>
      <c r="M219" s="3">
        <v>2.75</v>
      </c>
      <c r="N219" s="3" t="s">
        <v>17</v>
      </c>
      <c r="O219" s="3"/>
      <c r="P219">
        <f t="shared" si="6"/>
        <v>1.9777798351584368</v>
      </c>
      <c r="Q219">
        <f t="shared" si="7"/>
        <v>1.7136958148433588</v>
      </c>
    </row>
    <row r="220" spans="1:17" ht="14" x14ac:dyDescent="0.15">
      <c r="A220" s="2">
        <v>45588</v>
      </c>
      <c r="B220" s="3">
        <v>23</v>
      </c>
      <c r="C220" s="3">
        <v>15</v>
      </c>
      <c r="D220" s="3" t="s">
        <v>16</v>
      </c>
      <c r="E220" s="3" t="s">
        <v>27</v>
      </c>
      <c r="F220" s="3">
        <v>5000</v>
      </c>
      <c r="G220" s="7">
        <v>2000</v>
      </c>
      <c r="H220" s="3">
        <v>3</v>
      </c>
      <c r="I220" s="3" t="s">
        <v>25</v>
      </c>
      <c r="J220" s="3">
        <v>8.74</v>
      </c>
      <c r="K220" s="3">
        <v>2.75</v>
      </c>
      <c r="L220" s="3">
        <v>1</v>
      </c>
      <c r="M220" s="3">
        <v>2.75</v>
      </c>
      <c r="N220" s="3" t="s">
        <v>17</v>
      </c>
      <c r="O220" s="3"/>
      <c r="P220">
        <f t="shared" si="6"/>
        <v>1.4139374648825149</v>
      </c>
      <c r="Q220">
        <f t="shared" si="7"/>
        <v>1.6682016610885764</v>
      </c>
    </row>
    <row r="221" spans="1:17" ht="14" x14ac:dyDescent="0.15">
      <c r="A221" s="2">
        <v>45588</v>
      </c>
      <c r="B221" s="3">
        <v>23</v>
      </c>
      <c r="C221" s="3">
        <v>15</v>
      </c>
      <c r="D221" s="3" t="s">
        <v>16</v>
      </c>
      <c r="E221" s="3" t="s">
        <v>28</v>
      </c>
      <c r="F221" s="3">
        <v>1500</v>
      </c>
      <c r="G221" s="9">
        <v>1500</v>
      </c>
      <c r="H221" s="3">
        <v>1</v>
      </c>
      <c r="I221" s="3" t="s">
        <v>25</v>
      </c>
      <c r="J221" s="3">
        <v>4.79</v>
      </c>
      <c r="K221" s="3">
        <v>2.75</v>
      </c>
      <c r="L221" s="3">
        <v>1</v>
      </c>
      <c r="M221" s="3">
        <v>2.75</v>
      </c>
      <c r="N221" s="3" t="s">
        <v>17</v>
      </c>
      <c r="O221" s="3"/>
      <c r="P221">
        <f t="shared" si="6"/>
        <v>0.80059403732415846</v>
      </c>
      <c r="Q221">
        <f t="shared" si="7"/>
        <v>5.0059940940840404</v>
      </c>
    </row>
    <row r="222" spans="1:17" ht="14" x14ac:dyDescent="0.15">
      <c r="A222" s="2">
        <v>45588</v>
      </c>
      <c r="B222" s="3">
        <v>23</v>
      </c>
      <c r="C222" s="3">
        <v>15</v>
      </c>
      <c r="D222" s="3" t="s">
        <v>16</v>
      </c>
      <c r="E222" s="3" t="s">
        <v>28</v>
      </c>
      <c r="F222" s="3">
        <v>1500</v>
      </c>
      <c r="G222" s="9">
        <v>1500</v>
      </c>
      <c r="H222" s="3">
        <v>2</v>
      </c>
      <c r="I222" s="3" t="s">
        <v>25</v>
      </c>
      <c r="J222" s="3">
        <v>4.88</v>
      </c>
      <c r="K222" s="3">
        <v>2.75</v>
      </c>
      <c r="L222" s="3">
        <v>1</v>
      </c>
      <c r="M222" s="3">
        <v>2.75</v>
      </c>
      <c r="N222" s="3" t="s">
        <v>17</v>
      </c>
      <c r="O222" s="3"/>
      <c r="P222">
        <f t="shared" si="6"/>
        <v>0.82744952915086434</v>
      </c>
      <c r="Q222">
        <f t="shared" si="7"/>
        <v>4.6917195680066603</v>
      </c>
    </row>
    <row r="223" spans="1:17" ht="14" x14ac:dyDescent="0.15">
      <c r="A223" s="2">
        <v>45588</v>
      </c>
      <c r="B223" s="3">
        <v>23</v>
      </c>
      <c r="C223" s="3">
        <v>15</v>
      </c>
      <c r="D223" s="3" t="s">
        <v>16</v>
      </c>
      <c r="E223" s="3" t="s">
        <v>28</v>
      </c>
      <c r="F223" s="3">
        <v>1500</v>
      </c>
      <c r="G223" s="9">
        <v>1500</v>
      </c>
      <c r="H223" s="3">
        <v>3</v>
      </c>
      <c r="I223" s="3" t="s">
        <v>25</v>
      </c>
      <c r="J223" s="3">
        <v>4.66</v>
      </c>
      <c r="K223" s="3">
        <v>2.75</v>
      </c>
      <c r="L223" s="3">
        <v>1</v>
      </c>
      <c r="M223" s="3">
        <v>2.75</v>
      </c>
      <c r="N223" s="3" t="s">
        <v>17</v>
      </c>
      <c r="O223" s="3"/>
      <c r="P223">
        <f t="shared" si="6"/>
        <v>0.76089833624225822</v>
      </c>
      <c r="Q223">
        <f t="shared" si="7"/>
        <v>4.8098681967809007</v>
      </c>
    </row>
    <row r="224" spans="1:17" ht="28" x14ac:dyDescent="0.15">
      <c r="A224" s="2">
        <v>45588</v>
      </c>
      <c r="B224" s="3">
        <v>23</v>
      </c>
      <c r="C224" s="3">
        <v>15</v>
      </c>
      <c r="D224" s="3" t="s">
        <v>16</v>
      </c>
      <c r="E224" s="3" t="s">
        <v>28</v>
      </c>
      <c r="F224" s="3">
        <v>5000</v>
      </c>
      <c r="G224" s="7">
        <v>0</v>
      </c>
      <c r="H224" s="3">
        <v>1</v>
      </c>
      <c r="I224" s="3" t="s">
        <v>25</v>
      </c>
      <c r="J224" s="3"/>
      <c r="K224" s="3"/>
      <c r="L224" s="3"/>
      <c r="M224" s="3"/>
      <c r="N224" s="3"/>
      <c r="O224" s="3" t="s">
        <v>37</v>
      </c>
      <c r="Q224">
        <f t="shared" si="7"/>
        <v>-0.86488306908694301</v>
      </c>
    </row>
    <row r="225" spans="1:17" ht="28" x14ac:dyDescent="0.15">
      <c r="A225" s="2">
        <v>45588</v>
      </c>
      <c r="B225" s="3">
        <v>23</v>
      </c>
      <c r="C225" s="3">
        <v>15</v>
      </c>
      <c r="D225" s="3" t="s">
        <v>16</v>
      </c>
      <c r="E225" s="3" t="s">
        <v>28</v>
      </c>
      <c r="F225" s="3">
        <v>5000</v>
      </c>
      <c r="G225" s="7">
        <v>0</v>
      </c>
      <c r="H225" s="3">
        <v>2</v>
      </c>
      <c r="I225" s="3" t="s">
        <v>25</v>
      </c>
      <c r="J225" s="3"/>
      <c r="K225" s="3"/>
      <c r="L225" s="3"/>
      <c r="M225" s="3"/>
      <c r="N225" s="3"/>
      <c r="O225" s="3" t="s">
        <v>37</v>
      </c>
      <c r="Q225">
        <f t="shared" si="7"/>
        <v>-1.1725504708491359</v>
      </c>
    </row>
    <row r="226" spans="1:17" ht="28" x14ac:dyDescent="0.15">
      <c r="A226" s="2">
        <v>45588</v>
      </c>
      <c r="B226" s="3">
        <v>23</v>
      </c>
      <c r="C226" s="3">
        <v>15</v>
      </c>
      <c r="D226" s="3" t="s">
        <v>16</v>
      </c>
      <c r="E226" s="3" t="s">
        <v>28</v>
      </c>
      <c r="F226" s="3">
        <v>5000</v>
      </c>
      <c r="G226" s="7">
        <v>0</v>
      </c>
      <c r="H226" s="3">
        <v>3</v>
      </c>
      <c r="I226" s="3" t="s">
        <v>25</v>
      </c>
      <c r="J226" s="3"/>
      <c r="K226" s="3"/>
      <c r="L226" s="3"/>
      <c r="M226" s="3"/>
      <c r="N226" s="3"/>
      <c r="O226" s="3" t="s">
        <v>37</v>
      </c>
      <c r="Q226">
        <f t="shared" si="7"/>
        <v>-1.0371986179542496</v>
      </c>
    </row>
    <row r="227" spans="1:17" ht="14" x14ac:dyDescent="0.15">
      <c r="A227" s="2">
        <v>45588</v>
      </c>
      <c r="B227" s="3">
        <v>23</v>
      </c>
      <c r="C227" s="3">
        <v>15</v>
      </c>
      <c r="D227" s="3" t="s">
        <v>16</v>
      </c>
      <c r="E227" s="3" t="s">
        <v>29</v>
      </c>
      <c r="F227" s="3">
        <v>1000</v>
      </c>
      <c r="G227" s="7">
        <v>0</v>
      </c>
      <c r="H227" s="3">
        <v>1</v>
      </c>
      <c r="I227" s="3" t="s">
        <v>25</v>
      </c>
      <c r="J227" s="3">
        <v>0.35599999999999998</v>
      </c>
      <c r="K227" s="3">
        <v>0.35599999999999998</v>
      </c>
      <c r="L227" s="3"/>
      <c r="M227" s="3"/>
      <c r="N227" s="3" t="s">
        <v>17</v>
      </c>
      <c r="O227" s="3"/>
      <c r="P227">
        <f t="shared" si="6"/>
        <v>-1.196691911005098</v>
      </c>
      <c r="Q227">
        <f t="shared" si="7"/>
        <v>-1.196691911005098</v>
      </c>
    </row>
    <row r="228" spans="1:17" ht="14" x14ac:dyDescent="0.15">
      <c r="A228" s="2">
        <v>45588</v>
      </c>
      <c r="B228" s="3">
        <v>23</v>
      </c>
      <c r="C228" s="3">
        <v>15</v>
      </c>
      <c r="D228" s="3" t="s">
        <v>16</v>
      </c>
      <c r="E228" s="3" t="s">
        <v>29</v>
      </c>
      <c r="F228" s="3">
        <v>1000</v>
      </c>
      <c r="G228" s="7">
        <v>0</v>
      </c>
      <c r="H228" s="3">
        <v>2</v>
      </c>
      <c r="I228" s="3" t="s">
        <v>25</v>
      </c>
      <c r="J228" s="3">
        <v>0.51300000000000001</v>
      </c>
      <c r="K228" s="3">
        <v>0.51300000000000001</v>
      </c>
      <c r="L228" s="3"/>
      <c r="M228" s="3"/>
      <c r="N228" s="3" t="s">
        <v>17</v>
      </c>
      <c r="O228" s="3"/>
      <c r="P228">
        <f t="shared" si="6"/>
        <v>-0.67842339617075076</v>
      </c>
      <c r="Q228">
        <f t="shared" si="7"/>
        <v>-0.67842339617075076</v>
      </c>
    </row>
    <row r="229" spans="1:17" ht="14" x14ac:dyDescent="0.15">
      <c r="A229" s="2">
        <v>45588</v>
      </c>
      <c r="B229" s="3">
        <v>23</v>
      </c>
      <c r="C229" s="3">
        <v>15</v>
      </c>
      <c r="D229" s="3" t="s">
        <v>16</v>
      </c>
      <c r="E229" s="3" t="s">
        <v>29</v>
      </c>
      <c r="F229" s="3">
        <v>1000</v>
      </c>
      <c r="G229" s="7">
        <v>0</v>
      </c>
      <c r="H229" s="3">
        <v>3</v>
      </c>
      <c r="I229" s="3" t="s">
        <v>25</v>
      </c>
      <c r="J229" s="3">
        <v>0.309</v>
      </c>
      <c r="K229" s="3">
        <v>0.309</v>
      </c>
      <c r="L229" s="3"/>
      <c r="M229" s="3"/>
      <c r="N229" s="3" t="s">
        <v>17</v>
      </c>
      <c r="O229" s="3"/>
      <c r="P229">
        <f t="shared" si="6"/>
        <v>-1.0706116400947641</v>
      </c>
      <c r="Q229">
        <f t="shared" si="7"/>
        <v>-1.0706116400947641</v>
      </c>
    </row>
    <row r="230" spans="1:17" ht="14" x14ac:dyDescent="0.15">
      <c r="A230" s="2">
        <v>45588</v>
      </c>
      <c r="B230" s="3">
        <v>23</v>
      </c>
      <c r="C230" s="3">
        <v>15</v>
      </c>
      <c r="D230" s="3" t="s">
        <v>16</v>
      </c>
      <c r="E230" s="3" t="s">
        <v>29</v>
      </c>
      <c r="F230" s="3">
        <v>2500</v>
      </c>
      <c r="G230" s="7">
        <v>0</v>
      </c>
      <c r="H230" s="3">
        <v>1</v>
      </c>
      <c r="I230" s="3" t="s">
        <v>25</v>
      </c>
      <c r="J230" s="3">
        <v>0.40300000000000002</v>
      </c>
      <c r="K230" s="3">
        <v>0.40300000000000002</v>
      </c>
      <c r="L230" s="3"/>
      <c r="M230" s="3"/>
      <c r="N230" s="3" t="s">
        <v>17</v>
      </c>
      <c r="O230" s="3"/>
      <c r="P230">
        <f t="shared" si="6"/>
        <v>-0.76532414931992176</v>
      </c>
      <c r="Q230">
        <f t="shared" si="7"/>
        <v>-0.76532414931992176</v>
      </c>
    </row>
    <row r="231" spans="1:17" ht="14" x14ac:dyDescent="0.15">
      <c r="A231" s="2">
        <v>45588</v>
      </c>
      <c r="B231" s="3">
        <v>23</v>
      </c>
      <c r="C231" s="3">
        <v>15</v>
      </c>
      <c r="D231" s="3" t="s">
        <v>16</v>
      </c>
      <c r="E231" s="3" t="s">
        <v>29</v>
      </c>
      <c r="F231" s="3">
        <v>2500</v>
      </c>
      <c r="G231" s="7">
        <v>0</v>
      </c>
      <c r="H231" s="3">
        <v>2</v>
      </c>
      <c r="I231" s="3" t="s">
        <v>25</v>
      </c>
      <c r="J231" s="3">
        <v>0.251</v>
      </c>
      <c r="K231" s="3">
        <v>0.251</v>
      </c>
      <c r="L231" s="3"/>
      <c r="M231" s="3"/>
      <c r="N231" s="3" t="s">
        <v>17</v>
      </c>
      <c r="O231" s="3"/>
      <c r="P231">
        <f t="shared" si="6"/>
        <v>-1.39259110105728</v>
      </c>
      <c r="Q231">
        <f t="shared" si="7"/>
        <v>-1.39259110105728</v>
      </c>
    </row>
    <row r="232" spans="1:17" ht="14" x14ac:dyDescent="0.15">
      <c r="A232" s="2">
        <v>45588</v>
      </c>
      <c r="B232" s="3">
        <v>23</v>
      </c>
      <c r="C232" s="3">
        <v>15</v>
      </c>
      <c r="D232" s="3" t="s">
        <v>16</v>
      </c>
      <c r="E232" s="3" t="s">
        <v>29</v>
      </c>
      <c r="F232" s="3">
        <v>2500</v>
      </c>
      <c r="G232" s="7">
        <v>0</v>
      </c>
      <c r="H232" s="3">
        <v>3</v>
      </c>
      <c r="I232" s="3" t="s">
        <v>25</v>
      </c>
      <c r="J232" s="3">
        <v>0.39800000000000002</v>
      </c>
      <c r="K232" s="3">
        <v>0.39800000000000002</v>
      </c>
      <c r="L232" s="3"/>
      <c r="M232" s="3"/>
      <c r="N232" s="3" t="s">
        <v>17</v>
      </c>
      <c r="O232" s="3"/>
      <c r="P232">
        <f t="shared" si="6"/>
        <v>-0.59699505621605298</v>
      </c>
      <c r="Q232">
        <f t="shared" si="7"/>
        <v>-0.59699505621605298</v>
      </c>
    </row>
    <row r="233" spans="1:17" ht="14" x14ac:dyDescent="0.15">
      <c r="A233" s="2">
        <v>45588</v>
      </c>
      <c r="B233" s="3">
        <v>23</v>
      </c>
      <c r="C233" s="3">
        <v>15</v>
      </c>
      <c r="D233" s="3" t="s">
        <v>16</v>
      </c>
      <c r="E233" s="3" t="s">
        <v>30</v>
      </c>
      <c r="F233" s="3">
        <v>2000</v>
      </c>
      <c r="G233" s="10">
        <v>2000</v>
      </c>
      <c r="H233" s="3">
        <v>1</v>
      </c>
      <c r="I233" s="3" t="s">
        <v>25</v>
      </c>
      <c r="J233" s="3">
        <v>3.67</v>
      </c>
      <c r="K233" s="3">
        <v>2.75</v>
      </c>
      <c r="L233" s="3">
        <v>1</v>
      </c>
      <c r="M233" s="3">
        <v>2.75</v>
      </c>
      <c r="N233" s="3" t="s">
        <v>17</v>
      </c>
      <c r="O233" s="3"/>
      <c r="P233">
        <f t="shared" si="6"/>
        <v>0.41634844443119073</v>
      </c>
      <c r="Q233">
        <f t="shared" si="7"/>
        <v>4.9438640871417849</v>
      </c>
    </row>
    <row r="234" spans="1:17" ht="14" x14ac:dyDescent="0.15">
      <c r="A234" s="2">
        <v>45588</v>
      </c>
      <c r="B234" s="3">
        <v>23</v>
      </c>
      <c r="C234" s="3">
        <v>15</v>
      </c>
      <c r="D234" s="3" t="s">
        <v>16</v>
      </c>
      <c r="E234" s="3" t="s">
        <v>30</v>
      </c>
      <c r="F234" s="3">
        <v>2000</v>
      </c>
      <c r="G234" s="10">
        <v>2000</v>
      </c>
      <c r="H234" s="3">
        <v>2</v>
      </c>
      <c r="I234" s="3" t="s">
        <v>25</v>
      </c>
      <c r="J234" s="3">
        <v>3.81</v>
      </c>
      <c r="K234" s="3">
        <v>2.75</v>
      </c>
      <c r="L234" s="3">
        <v>1</v>
      </c>
      <c r="M234" s="3">
        <v>2.75</v>
      </c>
      <c r="N234" s="3" t="s">
        <v>17</v>
      </c>
      <c r="O234" s="3"/>
      <c r="P234">
        <f t="shared" si="6"/>
        <v>0.4703593790813001</v>
      </c>
      <c r="Q234">
        <f t="shared" si="7"/>
        <v>4.7447358714607972</v>
      </c>
    </row>
    <row r="235" spans="1:17" ht="14" x14ac:dyDescent="0.15">
      <c r="A235" s="2">
        <v>45588</v>
      </c>
      <c r="B235" s="3">
        <v>23</v>
      </c>
      <c r="C235" s="3">
        <v>15</v>
      </c>
      <c r="D235" s="3" t="s">
        <v>16</v>
      </c>
      <c r="E235" s="3" t="s">
        <v>30</v>
      </c>
      <c r="F235" s="3">
        <v>2000</v>
      </c>
      <c r="G235" s="10">
        <v>2000</v>
      </c>
      <c r="H235" s="3">
        <v>3</v>
      </c>
      <c r="I235" s="3" t="s">
        <v>25</v>
      </c>
      <c r="J235" s="3">
        <v>5.34</v>
      </c>
      <c r="K235" s="3">
        <v>2.75</v>
      </c>
      <c r="L235" s="3">
        <v>1</v>
      </c>
      <c r="M235" s="3">
        <v>2.75</v>
      </c>
      <c r="N235" s="3" t="s">
        <v>17</v>
      </c>
      <c r="O235" s="3"/>
      <c r="P235">
        <f t="shared" si="6"/>
        <v>0.95740812327553193</v>
      </c>
      <c r="Q235">
        <f t="shared" si="7"/>
        <v>5.4148120393155628</v>
      </c>
    </row>
    <row r="236" spans="1:17" ht="14" x14ac:dyDescent="0.15">
      <c r="A236" s="2">
        <v>45588</v>
      </c>
      <c r="B236" s="3">
        <v>23</v>
      </c>
      <c r="C236" s="3">
        <v>15</v>
      </c>
      <c r="D236" s="3" t="s">
        <v>16</v>
      </c>
      <c r="E236" s="3" t="s">
        <v>30</v>
      </c>
      <c r="F236" s="3">
        <v>15000</v>
      </c>
      <c r="G236" s="12">
        <v>0</v>
      </c>
      <c r="H236" s="3">
        <v>1</v>
      </c>
      <c r="I236" s="3" t="s">
        <v>25</v>
      </c>
      <c r="J236" s="3">
        <v>3.36</v>
      </c>
      <c r="K236" s="3">
        <v>3.36</v>
      </c>
      <c r="L236" s="3"/>
      <c r="M236" s="3"/>
      <c r="N236" s="3" t="s">
        <v>17</v>
      </c>
      <c r="O236" s="3"/>
      <c r="P236">
        <f t="shared" si="6"/>
        <v>0.28902961436673819</v>
      </c>
      <c r="Q236">
        <f t="shared" si="7"/>
        <v>1.1715837429580569</v>
      </c>
    </row>
    <row r="237" spans="1:17" ht="14" x14ac:dyDescent="0.15">
      <c r="A237" s="2">
        <v>45588</v>
      </c>
      <c r="B237" s="3">
        <v>23</v>
      </c>
      <c r="C237" s="3">
        <v>15</v>
      </c>
      <c r="D237" s="3" t="s">
        <v>16</v>
      </c>
      <c r="E237" s="3" t="s">
        <v>30</v>
      </c>
      <c r="F237" s="3">
        <v>15000</v>
      </c>
      <c r="G237" s="12">
        <v>0</v>
      </c>
      <c r="H237" s="3">
        <v>2</v>
      </c>
      <c r="I237" s="3" t="s">
        <v>25</v>
      </c>
      <c r="J237" s="3">
        <v>3.36</v>
      </c>
      <c r="K237" s="3">
        <v>3.36</v>
      </c>
      <c r="L237" s="3"/>
      <c r="M237" s="3"/>
      <c r="N237" s="3" t="s">
        <v>17</v>
      </c>
      <c r="O237" s="3"/>
      <c r="P237">
        <f t="shared" si="6"/>
        <v>0.28902961436673819</v>
      </c>
      <c r="Q237">
        <f t="shared" si="7"/>
        <v>1.2864041449599151</v>
      </c>
    </row>
    <row r="238" spans="1:17" ht="14" x14ac:dyDescent="0.15">
      <c r="A238" s="2">
        <v>45588</v>
      </c>
      <c r="B238" s="3">
        <v>23</v>
      </c>
      <c r="C238" s="3">
        <v>15</v>
      </c>
      <c r="D238" s="3" t="s">
        <v>16</v>
      </c>
      <c r="E238" s="3" t="s">
        <v>30</v>
      </c>
      <c r="F238" s="3">
        <v>15000</v>
      </c>
      <c r="G238" s="12">
        <v>0</v>
      </c>
      <c r="H238" s="3">
        <v>3</v>
      </c>
      <c r="I238" s="3" t="s">
        <v>25</v>
      </c>
      <c r="J238" s="3">
        <v>3.15</v>
      </c>
      <c r="K238" s="3">
        <v>3.15</v>
      </c>
      <c r="L238" s="3"/>
      <c r="M238" s="3"/>
      <c r="N238" s="3" t="s">
        <v>17</v>
      </c>
      <c r="O238" s="3"/>
      <c r="P238">
        <f t="shared" si="6"/>
        <v>0.19592020997525694</v>
      </c>
      <c r="Q238">
        <f t="shared" si="7"/>
        <v>1.1122231299211158</v>
      </c>
    </row>
    <row r="239" spans="1:17" ht="14" x14ac:dyDescent="0.15">
      <c r="A239" s="2">
        <v>45588</v>
      </c>
      <c r="B239" s="3">
        <v>23</v>
      </c>
      <c r="C239" s="3">
        <v>15</v>
      </c>
      <c r="D239" s="3" t="s">
        <v>16</v>
      </c>
      <c r="E239" s="3" t="s">
        <v>31</v>
      </c>
      <c r="F239" s="3">
        <v>4000</v>
      </c>
      <c r="G239" s="11">
        <v>4000</v>
      </c>
      <c r="H239" s="3">
        <v>1</v>
      </c>
      <c r="I239" s="3" t="s">
        <v>25</v>
      </c>
      <c r="J239" s="3">
        <v>5.0199999999999996</v>
      </c>
      <c r="K239" s="3">
        <v>2.75</v>
      </c>
      <c r="L239" s="3">
        <v>1</v>
      </c>
      <c r="M239" s="3">
        <v>2.75</v>
      </c>
      <c r="N239" s="3" t="s">
        <v>17</v>
      </c>
      <c r="O239" s="3"/>
      <c r="P239">
        <f t="shared" si="6"/>
        <v>0.86825574553874985</v>
      </c>
      <c r="Q239">
        <f t="shared" si="7"/>
        <v>6.2212779841372701</v>
      </c>
    </row>
    <row r="240" spans="1:17" ht="14" x14ac:dyDescent="0.15">
      <c r="A240" s="2">
        <v>45588</v>
      </c>
      <c r="B240" s="3">
        <v>23</v>
      </c>
      <c r="C240" s="3">
        <v>15</v>
      </c>
      <c r="D240" s="3" t="s">
        <v>16</v>
      </c>
      <c r="E240" s="3" t="s">
        <v>31</v>
      </c>
      <c r="F240" s="3">
        <v>4000</v>
      </c>
      <c r="G240" s="11">
        <v>4000</v>
      </c>
      <c r="H240" s="3">
        <v>2</v>
      </c>
      <c r="I240" s="3" t="s">
        <v>25</v>
      </c>
      <c r="J240" s="3">
        <v>5.69</v>
      </c>
      <c r="K240" s="3">
        <v>2.75</v>
      </c>
      <c r="L240" s="3">
        <v>1</v>
      </c>
      <c r="M240" s="3">
        <v>2.75</v>
      </c>
      <c r="N240" s="3" t="s">
        <v>17</v>
      </c>
      <c r="O240" s="3"/>
      <c r="P240">
        <f t="shared" si="6"/>
        <v>1.0489970338945602</v>
      </c>
      <c r="Q240">
        <f t="shared" si="7"/>
        <v>6.3512159888500737</v>
      </c>
    </row>
    <row r="241" spans="1:17" ht="14" x14ac:dyDescent="0.15">
      <c r="A241" s="2">
        <v>45588</v>
      </c>
      <c r="B241" s="3">
        <v>23</v>
      </c>
      <c r="C241" s="3">
        <v>15</v>
      </c>
      <c r="D241" s="3" t="s">
        <v>16</v>
      </c>
      <c r="E241" s="3" t="s">
        <v>31</v>
      </c>
      <c r="F241" s="3">
        <v>4000</v>
      </c>
      <c r="G241" s="11">
        <v>4000</v>
      </c>
      <c r="H241" s="3">
        <v>3</v>
      </c>
      <c r="I241" s="3" t="s">
        <v>25</v>
      </c>
      <c r="J241" s="3">
        <v>5.1100000000000003</v>
      </c>
      <c r="K241" s="3">
        <v>2.75</v>
      </c>
      <c r="L241" s="3">
        <v>1</v>
      </c>
      <c r="M241" s="3">
        <v>2.75</v>
      </c>
      <c r="N241" s="3" t="s">
        <v>17</v>
      </c>
      <c r="O241" s="3"/>
      <c r="P241">
        <f t="shared" si="6"/>
        <v>0.89389167252559965</v>
      </c>
      <c r="Q241">
        <f t="shared" si="7"/>
        <v>5.9113966533977687</v>
      </c>
    </row>
    <row r="242" spans="1:17" ht="14" x14ac:dyDescent="0.15">
      <c r="A242" s="2">
        <v>45588</v>
      </c>
      <c r="B242" s="3">
        <v>23</v>
      </c>
      <c r="C242" s="3">
        <v>15</v>
      </c>
      <c r="D242" s="3" t="s">
        <v>16</v>
      </c>
      <c r="E242" s="3" t="s">
        <v>31</v>
      </c>
      <c r="F242" s="3">
        <v>8000</v>
      </c>
      <c r="G242" s="12">
        <v>0</v>
      </c>
      <c r="H242" s="3">
        <v>1</v>
      </c>
      <c r="I242" s="3" t="s">
        <v>25</v>
      </c>
      <c r="J242" s="3">
        <v>4.1500000000000004</v>
      </c>
      <c r="K242" s="3">
        <v>4.1500000000000004</v>
      </c>
      <c r="L242" s="3"/>
      <c r="M242" s="3"/>
      <c r="N242" s="3" t="s">
        <v>17</v>
      </c>
      <c r="O242" s="3"/>
      <c r="P242">
        <f t="shared" ref="P242:P301" si="8">LOG(J242/K203,2)</f>
        <v>-0.13275520885177136</v>
      </c>
      <c r="Q242">
        <f t="shared" si="7"/>
        <v>2.8820338866460591</v>
      </c>
    </row>
    <row r="243" spans="1:17" ht="14" x14ac:dyDescent="0.15">
      <c r="A243" s="2">
        <v>45588</v>
      </c>
      <c r="B243" s="3">
        <v>23</v>
      </c>
      <c r="C243" s="3">
        <v>15</v>
      </c>
      <c r="D243" s="3" t="s">
        <v>16</v>
      </c>
      <c r="E243" s="3" t="s">
        <v>31</v>
      </c>
      <c r="F243" s="3">
        <v>8000</v>
      </c>
      <c r="G243" s="12">
        <v>0</v>
      </c>
      <c r="H243" s="3">
        <v>2</v>
      </c>
      <c r="I243" s="3" t="s">
        <v>25</v>
      </c>
      <c r="J243" s="3">
        <v>0.14099999999999999</v>
      </c>
      <c r="K243" s="3">
        <v>0.14099999999999999</v>
      </c>
      <c r="L243" s="3"/>
      <c r="M243" s="3"/>
      <c r="N243" s="3" t="s">
        <v>17</v>
      </c>
      <c r="O243" s="3"/>
      <c r="P243">
        <f t="shared" si="8"/>
        <v>-3.1481610271506559</v>
      </c>
      <c r="Q243">
        <f t="shared" si="7"/>
        <v>-2.1997837199896493</v>
      </c>
    </row>
    <row r="244" spans="1:17" ht="14" x14ac:dyDescent="0.15">
      <c r="A244" s="2">
        <v>45588</v>
      </c>
      <c r="B244" s="3">
        <v>23</v>
      </c>
      <c r="C244" s="3">
        <v>15</v>
      </c>
      <c r="D244" s="3" t="s">
        <v>16</v>
      </c>
      <c r="E244" s="3" t="s">
        <v>31</v>
      </c>
      <c r="F244" s="3">
        <v>8000</v>
      </c>
      <c r="G244" s="12">
        <v>0</v>
      </c>
      <c r="H244" s="3">
        <v>3</v>
      </c>
      <c r="I244" s="3" t="s">
        <v>25</v>
      </c>
      <c r="J244" s="3">
        <v>1.2</v>
      </c>
      <c r="K244" s="3">
        <v>1.2</v>
      </c>
      <c r="L244" s="3"/>
      <c r="M244" s="3"/>
      <c r="N244" s="3" t="s">
        <v>17</v>
      </c>
      <c r="O244" s="3"/>
      <c r="P244">
        <f t="shared" si="8"/>
        <v>-1.5277376320282061</v>
      </c>
      <c r="Q244">
        <f t="shared" si="7"/>
        <v>0.92950085401468852</v>
      </c>
    </row>
    <row r="245" spans="1:17" ht="14" x14ac:dyDescent="0.15">
      <c r="A245" s="2">
        <v>45588</v>
      </c>
      <c r="B245" s="3">
        <v>23</v>
      </c>
      <c r="C245" s="3">
        <v>15</v>
      </c>
      <c r="D245" s="3" t="s">
        <v>16</v>
      </c>
      <c r="E245" s="3" t="s">
        <v>32</v>
      </c>
      <c r="F245" s="5">
        <v>0.01</v>
      </c>
      <c r="G245" s="13">
        <v>0.01</v>
      </c>
      <c r="H245" s="3">
        <v>1</v>
      </c>
      <c r="I245" s="3" t="s">
        <v>25</v>
      </c>
      <c r="J245" s="3">
        <v>6.45</v>
      </c>
      <c r="K245" s="3">
        <v>2.75</v>
      </c>
      <c r="L245" s="3">
        <v>1</v>
      </c>
      <c r="M245" s="3">
        <v>2.75</v>
      </c>
      <c r="N245" s="3" t="s">
        <v>17</v>
      </c>
      <c r="O245" s="3"/>
      <c r="P245">
        <f t="shared" si="8"/>
        <v>1.2298675418985947</v>
      </c>
      <c r="Q245">
        <f t="shared" si="7"/>
        <v>7.2662705844788205</v>
      </c>
    </row>
    <row r="246" spans="1:17" ht="14" x14ac:dyDescent="0.15">
      <c r="A246" s="2">
        <v>45588</v>
      </c>
      <c r="B246" s="3">
        <v>23</v>
      </c>
      <c r="C246" s="3">
        <v>15</v>
      </c>
      <c r="D246" s="3" t="s">
        <v>16</v>
      </c>
      <c r="E246" s="3" t="s">
        <v>32</v>
      </c>
      <c r="F246" s="5">
        <v>0.01</v>
      </c>
      <c r="G246" s="13">
        <v>0.01</v>
      </c>
      <c r="H246" s="3">
        <v>2</v>
      </c>
      <c r="I246" s="3" t="s">
        <v>25</v>
      </c>
      <c r="J246" s="3">
        <v>6.67</v>
      </c>
      <c r="K246" s="3">
        <v>2.75</v>
      </c>
      <c r="L246" s="3">
        <v>1</v>
      </c>
      <c r="M246" s="3">
        <v>2.75</v>
      </c>
      <c r="N246" s="3" t="s">
        <v>17</v>
      </c>
      <c r="O246" s="3"/>
      <c r="P246">
        <f t="shared" si="8"/>
        <v>1.278255142772563</v>
      </c>
      <c r="Q246">
        <f t="shared" ref="Q246:Q309" si="9">P246+Q207</f>
        <v>7.0076171493858599</v>
      </c>
    </row>
    <row r="247" spans="1:17" ht="14" x14ac:dyDescent="0.15">
      <c r="A247" s="2">
        <v>45588</v>
      </c>
      <c r="B247" s="3">
        <v>23</v>
      </c>
      <c r="C247" s="3">
        <v>15</v>
      </c>
      <c r="D247" s="3" t="s">
        <v>16</v>
      </c>
      <c r="E247" s="3" t="s">
        <v>32</v>
      </c>
      <c r="F247" s="5">
        <v>0.01</v>
      </c>
      <c r="G247" s="13">
        <v>0.01</v>
      </c>
      <c r="H247" s="3">
        <v>3</v>
      </c>
      <c r="I247" s="3" t="s">
        <v>25</v>
      </c>
      <c r="J247" s="3">
        <v>7.75</v>
      </c>
      <c r="K247" s="3">
        <v>2.75</v>
      </c>
      <c r="L247" s="3">
        <v>1</v>
      </c>
      <c r="M247" s="3">
        <v>2.75</v>
      </c>
      <c r="N247" s="3" t="s">
        <v>17</v>
      </c>
      <c r="O247" s="3"/>
      <c r="P247">
        <f t="shared" si="8"/>
        <v>1.4947646917495783</v>
      </c>
      <c r="Q247">
        <f t="shared" si="9"/>
        <v>6.8805033288591408</v>
      </c>
    </row>
    <row r="248" spans="1:17" ht="14" x14ac:dyDescent="0.15">
      <c r="A248" s="2">
        <v>45591</v>
      </c>
      <c r="B248" s="3">
        <v>26</v>
      </c>
      <c r="C248" s="3">
        <v>18</v>
      </c>
      <c r="D248" s="3" t="s">
        <v>16</v>
      </c>
      <c r="E248" s="3" t="s">
        <v>24</v>
      </c>
      <c r="F248" s="3">
        <v>100</v>
      </c>
      <c r="G248" s="6">
        <v>100</v>
      </c>
      <c r="H248" s="3">
        <v>1</v>
      </c>
      <c r="I248" s="3" t="s">
        <v>25</v>
      </c>
      <c r="J248" s="3">
        <v>4.95</v>
      </c>
      <c r="K248" s="3">
        <v>2.75</v>
      </c>
      <c r="L248" s="3">
        <v>1</v>
      </c>
      <c r="M248" s="3">
        <v>2.75</v>
      </c>
      <c r="N248" s="3" t="s">
        <v>17</v>
      </c>
      <c r="O248" s="3"/>
      <c r="P248">
        <f t="shared" si="8"/>
        <v>0.84799690655495008</v>
      </c>
      <c r="Q248">
        <f t="shared" si="9"/>
        <v>5.9036357495302054</v>
      </c>
    </row>
    <row r="249" spans="1:17" ht="14" x14ac:dyDescent="0.15">
      <c r="A249" s="2">
        <v>45591</v>
      </c>
      <c r="B249" s="3">
        <v>26</v>
      </c>
      <c r="C249" s="3">
        <v>18</v>
      </c>
      <c r="D249" s="3" t="s">
        <v>16</v>
      </c>
      <c r="E249" s="3" t="s">
        <v>24</v>
      </c>
      <c r="F249" s="3">
        <v>100</v>
      </c>
      <c r="G249" s="6">
        <v>100</v>
      </c>
      <c r="H249" s="3">
        <v>2</v>
      </c>
      <c r="I249" s="3" t="s">
        <v>25</v>
      </c>
      <c r="J249" s="3">
        <v>5.04</v>
      </c>
      <c r="K249" s="3">
        <v>2.75</v>
      </c>
      <c r="L249" s="3">
        <v>1</v>
      </c>
      <c r="M249" s="3">
        <v>2.75</v>
      </c>
      <c r="N249" s="3" t="s">
        <v>17</v>
      </c>
      <c r="O249" s="3"/>
      <c r="P249">
        <f t="shared" si="8"/>
        <v>0.87399211508789454</v>
      </c>
      <c r="Q249">
        <f t="shared" si="9"/>
        <v>5.5786862737924361</v>
      </c>
    </row>
    <row r="250" spans="1:17" ht="14" x14ac:dyDescent="0.15">
      <c r="A250" s="2">
        <v>45591</v>
      </c>
      <c r="B250" s="3">
        <v>26</v>
      </c>
      <c r="C250" s="3">
        <v>18</v>
      </c>
      <c r="D250" s="3" t="s">
        <v>16</v>
      </c>
      <c r="E250" s="3" t="s">
        <v>24</v>
      </c>
      <c r="F250" s="3">
        <v>100</v>
      </c>
      <c r="G250" s="6">
        <v>100</v>
      </c>
      <c r="H250" s="3">
        <v>3</v>
      </c>
      <c r="I250" s="3" t="s">
        <v>25</v>
      </c>
      <c r="J250" s="3">
        <v>5.29</v>
      </c>
      <c r="K250" s="3">
        <v>2.75</v>
      </c>
      <c r="L250" s="3">
        <v>1</v>
      </c>
      <c r="M250" s="3">
        <v>2.75</v>
      </c>
      <c r="N250" s="3" t="s">
        <v>17</v>
      </c>
      <c r="O250" s="3"/>
      <c r="P250">
        <f t="shared" si="8"/>
        <v>0.94383610370200388</v>
      </c>
      <c r="Q250">
        <f t="shared" si="9"/>
        <v>6.1266701928045615</v>
      </c>
    </row>
    <row r="251" spans="1:17" ht="14" x14ac:dyDescent="0.15">
      <c r="A251" s="2">
        <v>45591</v>
      </c>
      <c r="B251" s="3">
        <v>26</v>
      </c>
      <c r="C251" s="3">
        <v>18</v>
      </c>
      <c r="D251" s="3" t="s">
        <v>16</v>
      </c>
      <c r="E251" s="3" t="s">
        <v>24</v>
      </c>
      <c r="F251" s="3">
        <v>1000</v>
      </c>
      <c r="G251" s="7">
        <v>200</v>
      </c>
      <c r="H251" s="3">
        <v>1</v>
      </c>
      <c r="I251" s="3" t="s">
        <v>25</v>
      </c>
      <c r="J251" s="3">
        <v>4.3</v>
      </c>
      <c r="K251" s="3">
        <v>2.75</v>
      </c>
      <c r="L251" s="3">
        <v>1</v>
      </c>
      <c r="M251" s="3">
        <v>2.75</v>
      </c>
      <c r="N251" s="3" t="s">
        <v>17</v>
      </c>
      <c r="O251" s="3"/>
      <c r="P251">
        <f t="shared" si="8"/>
        <v>0.64490504117743819</v>
      </c>
      <c r="Q251">
        <f t="shared" si="9"/>
        <v>2.0112590500049325</v>
      </c>
    </row>
    <row r="252" spans="1:17" ht="14" x14ac:dyDescent="0.15">
      <c r="A252" s="2">
        <v>45591</v>
      </c>
      <c r="B252" s="3">
        <v>26</v>
      </c>
      <c r="C252" s="3">
        <v>18</v>
      </c>
      <c r="D252" s="3" t="s">
        <v>16</v>
      </c>
      <c r="E252" s="3" t="s">
        <v>24</v>
      </c>
      <c r="F252" s="3">
        <v>1000</v>
      </c>
      <c r="G252" s="7">
        <v>200</v>
      </c>
      <c r="H252" s="3">
        <v>2</v>
      </c>
      <c r="I252" s="3" t="s">
        <v>25</v>
      </c>
      <c r="J252" s="3">
        <v>4.41</v>
      </c>
      <c r="K252" s="3">
        <v>2.75</v>
      </c>
      <c r="L252" s="3">
        <v>1</v>
      </c>
      <c r="M252" s="3">
        <v>2.75</v>
      </c>
      <c r="N252" s="3" t="s">
        <v>17</v>
      </c>
      <c r="O252" s="3"/>
      <c r="P252">
        <f t="shared" si="8"/>
        <v>0.68134703714549882</v>
      </c>
      <c r="Q252">
        <f t="shared" si="9"/>
        <v>2.0638885374353819</v>
      </c>
    </row>
    <row r="253" spans="1:17" ht="14" x14ac:dyDescent="0.15">
      <c r="A253" s="2">
        <v>45591</v>
      </c>
      <c r="B253" s="3">
        <v>26</v>
      </c>
      <c r="C253" s="3">
        <v>18</v>
      </c>
      <c r="D253" s="3" t="s">
        <v>16</v>
      </c>
      <c r="E253" s="3" t="s">
        <v>24</v>
      </c>
      <c r="F253" s="3">
        <v>1000</v>
      </c>
      <c r="G253" s="7">
        <v>200</v>
      </c>
      <c r="H253" s="3">
        <v>3</v>
      </c>
      <c r="I253" s="3" t="s">
        <v>25</v>
      </c>
      <c r="J253" s="3">
        <v>4.2300000000000004</v>
      </c>
      <c r="K253" s="3">
        <v>2.75</v>
      </c>
      <c r="L253" s="3">
        <v>1</v>
      </c>
      <c r="M253" s="3">
        <v>2.75</v>
      </c>
      <c r="N253" s="3" t="s">
        <v>17</v>
      </c>
      <c r="O253" s="3"/>
      <c r="P253">
        <f t="shared" si="8"/>
        <v>0.62122604470792797</v>
      </c>
      <c r="Q253">
        <f t="shared" si="9"/>
        <v>2.0782710705083476</v>
      </c>
    </row>
    <row r="254" spans="1:17" ht="14" x14ac:dyDescent="0.15">
      <c r="A254" s="2">
        <v>45591</v>
      </c>
      <c r="B254" s="3">
        <v>26</v>
      </c>
      <c r="C254" s="3">
        <v>18</v>
      </c>
      <c r="D254" s="3" t="s">
        <v>16</v>
      </c>
      <c r="E254" s="3" t="s">
        <v>27</v>
      </c>
      <c r="F254" s="3">
        <v>1250</v>
      </c>
      <c r="G254" s="8">
        <v>1250</v>
      </c>
      <c r="H254" s="3">
        <v>1</v>
      </c>
      <c r="I254" s="3" t="s">
        <v>25</v>
      </c>
      <c r="J254" s="3">
        <v>5.67</v>
      </c>
      <c r="K254" s="3">
        <v>2.75</v>
      </c>
      <c r="L254" s="3">
        <v>1</v>
      </c>
      <c r="M254" s="3">
        <v>2.75</v>
      </c>
      <c r="N254" s="3" t="s">
        <v>17</v>
      </c>
      <c r="O254" s="3"/>
      <c r="P254">
        <f t="shared" si="8"/>
        <v>1.043917116530207</v>
      </c>
      <c r="Q254">
        <f t="shared" si="9"/>
        <v>6.5645551975367882</v>
      </c>
    </row>
    <row r="255" spans="1:17" ht="14" x14ac:dyDescent="0.15">
      <c r="A255" s="2">
        <v>45591</v>
      </c>
      <c r="B255" s="3">
        <v>26</v>
      </c>
      <c r="C255" s="3">
        <v>18</v>
      </c>
      <c r="D255" s="3" t="s">
        <v>16</v>
      </c>
      <c r="E255" s="3" t="s">
        <v>27</v>
      </c>
      <c r="F255" s="3">
        <v>1250</v>
      </c>
      <c r="G255" s="8">
        <v>1250</v>
      </c>
      <c r="H255" s="3">
        <v>2</v>
      </c>
      <c r="I255" s="3" t="s">
        <v>25</v>
      </c>
      <c r="J255" s="3">
        <v>5.19</v>
      </c>
      <c r="K255" s="3">
        <v>2.75</v>
      </c>
      <c r="L255" s="3">
        <v>1</v>
      </c>
      <c r="M255" s="3">
        <v>2.75</v>
      </c>
      <c r="N255" s="3" t="s">
        <v>17</v>
      </c>
      <c r="O255" s="3"/>
      <c r="P255">
        <f t="shared" si="8"/>
        <v>0.916302919945859</v>
      </c>
      <c r="Q255">
        <f t="shared" si="9"/>
        <v>6.4264914121074606</v>
      </c>
    </row>
    <row r="256" spans="1:17" ht="14" x14ac:dyDescent="0.15">
      <c r="A256" s="2">
        <v>45591</v>
      </c>
      <c r="B256" s="3">
        <v>26</v>
      </c>
      <c r="C256" s="3">
        <v>18</v>
      </c>
      <c r="D256" s="3" t="s">
        <v>16</v>
      </c>
      <c r="E256" s="3" t="s">
        <v>27</v>
      </c>
      <c r="F256" s="3">
        <v>1250</v>
      </c>
      <c r="G256" s="8">
        <v>1250</v>
      </c>
      <c r="H256" s="3">
        <v>3</v>
      </c>
      <c r="I256" s="3" t="s">
        <v>25</v>
      </c>
      <c r="J256" s="3">
        <v>6.04</v>
      </c>
      <c r="K256" s="3">
        <v>2.75</v>
      </c>
      <c r="L256" s="3">
        <v>1</v>
      </c>
      <c r="M256" s="3">
        <v>2.75</v>
      </c>
      <c r="N256" s="3" t="s">
        <v>17</v>
      </c>
      <c r="O256" s="3"/>
      <c r="P256">
        <f t="shared" si="8"/>
        <v>1.1351169309130569</v>
      </c>
      <c r="Q256">
        <f t="shared" si="9"/>
        <v>7.0742692328360661</v>
      </c>
    </row>
    <row r="257" spans="1:17" ht="14" x14ac:dyDescent="0.15">
      <c r="A257" s="2">
        <v>45591</v>
      </c>
      <c r="B257" s="3">
        <v>26</v>
      </c>
      <c r="C257" s="3">
        <v>18</v>
      </c>
      <c r="D257" s="3" t="s">
        <v>16</v>
      </c>
      <c r="E257" s="3" t="s">
        <v>27</v>
      </c>
      <c r="F257" s="3">
        <v>5000</v>
      </c>
      <c r="G257" s="7">
        <v>2000</v>
      </c>
      <c r="H257" s="3">
        <v>1</v>
      </c>
      <c r="I257" s="3" t="s">
        <v>25</v>
      </c>
      <c r="J257" s="3">
        <v>4.22</v>
      </c>
      <c r="K257" s="3">
        <v>2.75</v>
      </c>
      <c r="L257" s="3">
        <v>1</v>
      </c>
      <c r="M257" s="3">
        <v>2.75</v>
      </c>
      <c r="N257" s="3" t="s">
        <v>17</v>
      </c>
      <c r="O257" s="3"/>
      <c r="P257">
        <f t="shared" si="8"/>
        <v>0.61781138029516303</v>
      </c>
      <c r="Q257">
        <f t="shared" si="9"/>
        <v>1.8610373050487765</v>
      </c>
    </row>
    <row r="258" spans="1:17" ht="14" x14ac:dyDescent="0.15">
      <c r="A258" s="2">
        <v>45591</v>
      </c>
      <c r="B258" s="3">
        <v>26</v>
      </c>
      <c r="C258" s="3">
        <v>18</v>
      </c>
      <c r="D258" s="3" t="s">
        <v>16</v>
      </c>
      <c r="E258" s="3" t="s">
        <v>27</v>
      </c>
      <c r="F258" s="3">
        <v>5000</v>
      </c>
      <c r="G258" s="7">
        <v>2000</v>
      </c>
      <c r="H258" s="3">
        <v>2</v>
      </c>
      <c r="I258" s="3" t="s">
        <v>25</v>
      </c>
      <c r="J258" s="3">
        <v>4.17</v>
      </c>
      <c r="K258" s="3">
        <v>2.75</v>
      </c>
      <c r="L258" s="3">
        <v>1</v>
      </c>
      <c r="M258" s="3">
        <v>2.75</v>
      </c>
      <c r="N258" s="3" t="s">
        <v>17</v>
      </c>
      <c r="O258" s="3"/>
      <c r="P258">
        <f t="shared" si="8"/>
        <v>0.60061576503264169</v>
      </c>
      <c r="Q258">
        <f t="shared" si="9"/>
        <v>2.3143115798760006</v>
      </c>
    </row>
    <row r="259" spans="1:17" ht="14" x14ac:dyDescent="0.15">
      <c r="A259" s="2">
        <v>45591</v>
      </c>
      <c r="B259" s="3">
        <v>26</v>
      </c>
      <c r="C259" s="3">
        <v>18</v>
      </c>
      <c r="D259" s="3" t="s">
        <v>16</v>
      </c>
      <c r="E259" s="3" t="s">
        <v>27</v>
      </c>
      <c r="F259" s="3">
        <v>5000</v>
      </c>
      <c r="G259" s="7">
        <v>2000</v>
      </c>
      <c r="H259" s="3">
        <v>3</v>
      </c>
      <c r="I259" s="3" t="s">
        <v>25</v>
      </c>
      <c r="J259" s="3">
        <v>4.05</v>
      </c>
      <c r="K259" s="3">
        <v>2.75</v>
      </c>
      <c r="L259" s="3">
        <v>1</v>
      </c>
      <c r="M259" s="3">
        <v>2.75</v>
      </c>
      <c r="N259" s="3" t="s">
        <v>17</v>
      </c>
      <c r="O259" s="3"/>
      <c r="P259">
        <f t="shared" si="8"/>
        <v>0.55849028935996503</v>
      </c>
      <c r="Q259">
        <f t="shared" si="9"/>
        <v>2.2266919504485414</v>
      </c>
    </row>
    <row r="260" spans="1:17" ht="14" x14ac:dyDescent="0.15">
      <c r="A260" s="2">
        <v>45591</v>
      </c>
      <c r="B260" s="3">
        <v>26</v>
      </c>
      <c r="C260" s="3">
        <v>18</v>
      </c>
      <c r="D260" s="3" t="s">
        <v>16</v>
      </c>
      <c r="E260" s="3" t="s">
        <v>28</v>
      </c>
      <c r="F260" s="3">
        <v>1500</v>
      </c>
      <c r="G260" s="9">
        <v>1500</v>
      </c>
      <c r="H260" s="3">
        <v>1</v>
      </c>
      <c r="I260" s="3" t="s">
        <v>25</v>
      </c>
      <c r="J260" s="3">
        <v>4.17</v>
      </c>
      <c r="K260" s="3">
        <v>2.75</v>
      </c>
      <c r="L260" s="3">
        <v>1</v>
      </c>
      <c r="M260" s="3">
        <v>2.75</v>
      </c>
      <c r="N260" s="3" t="s">
        <v>17</v>
      </c>
      <c r="O260" s="3"/>
      <c r="P260">
        <f t="shared" si="8"/>
        <v>0.60061576503264169</v>
      </c>
      <c r="Q260">
        <f t="shared" si="9"/>
        <v>5.6066098591166824</v>
      </c>
    </row>
    <row r="261" spans="1:17" ht="14" x14ac:dyDescent="0.15">
      <c r="A261" s="2">
        <v>45591</v>
      </c>
      <c r="B261" s="3">
        <v>26</v>
      </c>
      <c r="C261" s="3">
        <v>18</v>
      </c>
      <c r="D261" s="3" t="s">
        <v>16</v>
      </c>
      <c r="E261" s="3" t="s">
        <v>28</v>
      </c>
      <c r="F261" s="3">
        <v>1500</v>
      </c>
      <c r="G261" s="9">
        <v>1500</v>
      </c>
      <c r="H261" s="3">
        <v>2</v>
      </c>
      <c r="I261" s="3" t="s">
        <v>25</v>
      </c>
      <c r="J261" s="3">
        <v>4.8</v>
      </c>
      <c r="K261" s="3">
        <v>2.75</v>
      </c>
      <c r="L261" s="3">
        <v>1</v>
      </c>
      <c r="M261" s="3">
        <v>2.75</v>
      </c>
      <c r="N261" s="3" t="s">
        <v>17</v>
      </c>
      <c r="O261" s="3"/>
      <c r="P261">
        <f t="shared" si="8"/>
        <v>0.80360278719649647</v>
      </c>
      <c r="Q261">
        <f t="shared" si="9"/>
        <v>5.4953223552031565</v>
      </c>
    </row>
    <row r="262" spans="1:17" ht="14" x14ac:dyDescent="0.15">
      <c r="A262" s="2">
        <v>45591</v>
      </c>
      <c r="B262" s="3">
        <v>26</v>
      </c>
      <c r="C262" s="3">
        <v>18</v>
      </c>
      <c r="D262" s="3" t="s">
        <v>16</v>
      </c>
      <c r="E262" s="3" t="s">
        <v>28</v>
      </c>
      <c r="F262" s="3">
        <v>1500</v>
      </c>
      <c r="G262" s="9">
        <v>1500</v>
      </c>
      <c r="H262" s="3">
        <v>3</v>
      </c>
      <c r="I262" s="3" t="s">
        <v>25</v>
      </c>
      <c r="J262" s="3">
        <v>4.3600000000000003</v>
      </c>
      <c r="K262" s="3">
        <v>2.75</v>
      </c>
      <c r="L262" s="3">
        <v>1</v>
      </c>
      <c r="M262" s="3">
        <v>2.75</v>
      </c>
      <c r="N262" s="3" t="s">
        <v>17</v>
      </c>
      <c r="O262" s="3"/>
      <c r="P262">
        <f t="shared" si="8"/>
        <v>0.66489651636490466</v>
      </c>
      <c r="Q262">
        <f t="shared" si="9"/>
        <v>5.474764713145805</v>
      </c>
    </row>
    <row r="263" spans="1:17" ht="14" x14ac:dyDescent="0.15">
      <c r="A263" s="2">
        <v>45591</v>
      </c>
      <c r="B263" s="3">
        <v>26</v>
      </c>
      <c r="C263" s="3">
        <v>18</v>
      </c>
      <c r="D263" s="3" t="s">
        <v>16</v>
      </c>
      <c r="E263" s="3" t="s">
        <v>28</v>
      </c>
      <c r="F263" s="3">
        <v>5000</v>
      </c>
      <c r="G263" s="7">
        <v>0</v>
      </c>
      <c r="H263" s="3">
        <v>1</v>
      </c>
      <c r="I263" s="3" t="s">
        <v>25</v>
      </c>
      <c r="J263" s="3"/>
      <c r="K263" s="3"/>
      <c r="L263" s="3"/>
      <c r="M263" s="3"/>
      <c r="N263" s="3" t="s">
        <v>17</v>
      </c>
      <c r="O263" s="3"/>
      <c r="Q263">
        <f t="shared" si="9"/>
        <v>-0.86488306908694301</v>
      </c>
    </row>
    <row r="264" spans="1:17" ht="14" x14ac:dyDescent="0.15">
      <c r="A264" s="2">
        <v>45591</v>
      </c>
      <c r="B264" s="3">
        <v>26</v>
      </c>
      <c r="C264" s="3">
        <v>18</v>
      </c>
      <c r="D264" s="3" t="s">
        <v>16</v>
      </c>
      <c r="E264" s="3" t="s">
        <v>28</v>
      </c>
      <c r="F264" s="3">
        <v>5000</v>
      </c>
      <c r="G264" s="7">
        <v>0</v>
      </c>
      <c r="H264" s="3">
        <v>2</v>
      </c>
      <c r="I264" s="3" t="s">
        <v>25</v>
      </c>
      <c r="J264" s="3"/>
      <c r="K264" s="3"/>
      <c r="L264" s="3"/>
      <c r="M264" s="3"/>
      <c r="N264" s="3" t="s">
        <v>17</v>
      </c>
      <c r="O264" s="3"/>
      <c r="Q264">
        <f t="shared" si="9"/>
        <v>-1.1725504708491359</v>
      </c>
    </row>
    <row r="265" spans="1:17" ht="14" x14ac:dyDescent="0.15">
      <c r="A265" s="2">
        <v>45591</v>
      </c>
      <c r="B265" s="3">
        <v>26</v>
      </c>
      <c r="C265" s="3">
        <v>18</v>
      </c>
      <c r="D265" s="3" t="s">
        <v>16</v>
      </c>
      <c r="E265" s="3" t="s">
        <v>28</v>
      </c>
      <c r="F265" s="3">
        <v>5000</v>
      </c>
      <c r="G265" s="7">
        <v>0</v>
      </c>
      <c r="H265" s="3">
        <v>3</v>
      </c>
      <c r="I265" s="3" t="s">
        <v>25</v>
      </c>
      <c r="J265" s="3"/>
      <c r="K265" s="3"/>
      <c r="L265" s="3"/>
      <c r="M265" s="3"/>
      <c r="N265" s="3" t="s">
        <v>17</v>
      </c>
      <c r="O265" s="3"/>
      <c r="Q265">
        <f t="shared" si="9"/>
        <v>-1.0371986179542496</v>
      </c>
    </row>
    <row r="266" spans="1:17" ht="14" x14ac:dyDescent="0.15">
      <c r="A266" s="2">
        <v>45591</v>
      </c>
      <c r="B266" s="3">
        <v>26</v>
      </c>
      <c r="C266" s="3">
        <v>18</v>
      </c>
      <c r="D266" s="3" t="s">
        <v>16</v>
      </c>
      <c r="E266" s="3" t="s">
        <v>29</v>
      </c>
      <c r="F266" s="3">
        <v>1000</v>
      </c>
      <c r="G266" s="7">
        <v>0</v>
      </c>
      <c r="H266" s="3">
        <v>1</v>
      </c>
      <c r="I266" s="3" t="s">
        <v>25</v>
      </c>
      <c r="J266" s="3"/>
      <c r="K266" s="3"/>
      <c r="L266" s="3"/>
      <c r="M266" s="3"/>
      <c r="N266" s="3" t="s">
        <v>17</v>
      </c>
      <c r="O266" s="3"/>
      <c r="Q266">
        <f t="shared" si="9"/>
        <v>-1.196691911005098</v>
      </c>
    </row>
    <row r="267" spans="1:17" ht="14" x14ac:dyDescent="0.15">
      <c r="A267" s="2">
        <v>45591</v>
      </c>
      <c r="B267" s="3">
        <v>26</v>
      </c>
      <c r="C267" s="3">
        <v>18</v>
      </c>
      <c r="D267" s="3" t="s">
        <v>16</v>
      </c>
      <c r="E267" s="3" t="s">
        <v>29</v>
      </c>
      <c r="F267" s="3">
        <v>1000</v>
      </c>
      <c r="G267" s="7">
        <v>0</v>
      </c>
      <c r="H267" s="3">
        <v>2</v>
      </c>
      <c r="I267" s="3" t="s">
        <v>25</v>
      </c>
      <c r="J267" s="3"/>
      <c r="K267" s="3"/>
      <c r="L267" s="3"/>
      <c r="M267" s="3"/>
      <c r="N267" s="3" t="s">
        <v>17</v>
      </c>
      <c r="O267" s="3"/>
      <c r="Q267">
        <f t="shared" si="9"/>
        <v>-0.67842339617075076</v>
      </c>
    </row>
    <row r="268" spans="1:17" ht="14" x14ac:dyDescent="0.15">
      <c r="A268" s="2">
        <v>45591</v>
      </c>
      <c r="B268" s="3">
        <v>26</v>
      </c>
      <c r="C268" s="3">
        <v>18</v>
      </c>
      <c r="D268" s="3" t="s">
        <v>16</v>
      </c>
      <c r="E268" s="3" t="s">
        <v>29</v>
      </c>
      <c r="F268" s="3">
        <v>1000</v>
      </c>
      <c r="G268" s="7">
        <v>0</v>
      </c>
      <c r="H268" s="3">
        <v>3</v>
      </c>
      <c r="I268" s="3" t="s">
        <v>25</v>
      </c>
      <c r="J268" s="3"/>
      <c r="K268" s="3"/>
      <c r="L268" s="3"/>
      <c r="M268" s="3"/>
      <c r="N268" s="3" t="s">
        <v>17</v>
      </c>
      <c r="O268" s="3"/>
      <c r="Q268">
        <f t="shared" si="9"/>
        <v>-1.0706116400947641</v>
      </c>
    </row>
    <row r="269" spans="1:17" ht="14" x14ac:dyDescent="0.15">
      <c r="A269" s="2">
        <v>45591</v>
      </c>
      <c r="B269" s="3">
        <v>26</v>
      </c>
      <c r="C269" s="3">
        <v>18</v>
      </c>
      <c r="D269" s="3" t="s">
        <v>16</v>
      </c>
      <c r="E269" s="3" t="s">
        <v>29</v>
      </c>
      <c r="F269" s="3">
        <v>2500</v>
      </c>
      <c r="G269" s="7">
        <v>0</v>
      </c>
      <c r="H269" s="3">
        <v>1</v>
      </c>
      <c r="I269" s="3" t="s">
        <v>25</v>
      </c>
      <c r="J269" s="3"/>
      <c r="K269" s="3"/>
      <c r="L269" s="3"/>
      <c r="M269" s="3"/>
      <c r="N269" s="3" t="s">
        <v>17</v>
      </c>
      <c r="O269" s="3"/>
      <c r="Q269">
        <f t="shared" si="9"/>
        <v>-0.76532414931992176</v>
      </c>
    </row>
    <row r="270" spans="1:17" ht="14" x14ac:dyDescent="0.15">
      <c r="A270" s="2">
        <v>45591</v>
      </c>
      <c r="B270" s="3">
        <v>26</v>
      </c>
      <c r="C270" s="3">
        <v>18</v>
      </c>
      <c r="D270" s="3" t="s">
        <v>16</v>
      </c>
      <c r="E270" s="3" t="s">
        <v>29</v>
      </c>
      <c r="F270" s="3">
        <v>2500</v>
      </c>
      <c r="G270" s="7">
        <v>0</v>
      </c>
      <c r="H270" s="3">
        <v>2</v>
      </c>
      <c r="I270" s="3" t="s">
        <v>25</v>
      </c>
      <c r="J270" s="3"/>
      <c r="K270" s="3"/>
      <c r="L270" s="3"/>
      <c r="M270" s="3"/>
      <c r="N270" s="3" t="s">
        <v>17</v>
      </c>
      <c r="O270" s="3"/>
      <c r="Q270">
        <f t="shared" si="9"/>
        <v>-1.39259110105728</v>
      </c>
    </row>
    <row r="271" spans="1:17" ht="14" x14ac:dyDescent="0.15">
      <c r="A271" s="2">
        <v>45591</v>
      </c>
      <c r="B271" s="3">
        <v>26</v>
      </c>
      <c r="C271" s="3">
        <v>18</v>
      </c>
      <c r="D271" s="3" t="s">
        <v>16</v>
      </c>
      <c r="E271" s="3" t="s">
        <v>29</v>
      </c>
      <c r="F271" s="3">
        <v>2500</v>
      </c>
      <c r="G271" s="7">
        <v>0</v>
      </c>
      <c r="H271" s="3">
        <v>3</v>
      </c>
      <c r="I271" s="3" t="s">
        <v>25</v>
      </c>
      <c r="J271" s="3"/>
      <c r="K271" s="3"/>
      <c r="L271" s="3"/>
      <c r="M271" s="3"/>
      <c r="N271" s="3" t="s">
        <v>17</v>
      </c>
      <c r="O271" s="3"/>
      <c r="Q271">
        <f t="shared" si="9"/>
        <v>-0.59699505621605298</v>
      </c>
    </row>
    <row r="272" spans="1:17" ht="14" x14ac:dyDescent="0.15">
      <c r="A272" s="2">
        <v>45591</v>
      </c>
      <c r="B272" s="3">
        <v>26</v>
      </c>
      <c r="C272" s="3">
        <v>18</v>
      </c>
      <c r="D272" s="3" t="s">
        <v>16</v>
      </c>
      <c r="E272" s="3" t="s">
        <v>30</v>
      </c>
      <c r="F272" s="3">
        <v>2000</v>
      </c>
      <c r="G272" s="10">
        <v>2000</v>
      </c>
      <c r="H272" s="3">
        <v>1</v>
      </c>
      <c r="I272" s="3" t="s">
        <v>25</v>
      </c>
      <c r="J272" s="3">
        <v>4.68</v>
      </c>
      <c r="K272" s="3">
        <v>2.75</v>
      </c>
      <c r="L272" s="3">
        <v>1</v>
      </c>
      <c r="M272" s="3">
        <v>2.75</v>
      </c>
      <c r="N272" s="3" t="s">
        <v>17</v>
      </c>
      <c r="O272" s="3"/>
      <c r="P272">
        <f t="shared" si="8"/>
        <v>0.76707691117138244</v>
      </c>
      <c r="Q272">
        <f t="shared" si="9"/>
        <v>5.7109409983131671</v>
      </c>
    </row>
    <row r="273" spans="1:17" ht="14" x14ac:dyDescent="0.15">
      <c r="A273" s="2">
        <v>45591</v>
      </c>
      <c r="B273" s="3">
        <v>26</v>
      </c>
      <c r="C273" s="3">
        <v>18</v>
      </c>
      <c r="D273" s="3" t="s">
        <v>16</v>
      </c>
      <c r="E273" s="3" t="s">
        <v>30</v>
      </c>
      <c r="F273" s="3">
        <v>2000</v>
      </c>
      <c r="G273" s="10">
        <v>2000</v>
      </c>
      <c r="H273" s="3">
        <v>2</v>
      </c>
      <c r="I273" s="3" t="s">
        <v>25</v>
      </c>
      <c r="J273" s="3">
        <v>4.8</v>
      </c>
      <c r="K273" s="3">
        <v>2.75</v>
      </c>
      <c r="L273" s="3">
        <v>1</v>
      </c>
      <c r="M273" s="3">
        <v>2.75</v>
      </c>
      <c r="N273" s="3" t="s">
        <v>17</v>
      </c>
      <c r="O273" s="3"/>
      <c r="P273">
        <f t="shared" si="8"/>
        <v>0.80360278719649647</v>
      </c>
      <c r="Q273">
        <f t="shared" si="9"/>
        <v>5.5483386586572934</v>
      </c>
    </row>
    <row r="274" spans="1:17" ht="14" x14ac:dyDescent="0.15">
      <c r="A274" s="2">
        <v>45591</v>
      </c>
      <c r="B274" s="3">
        <v>26</v>
      </c>
      <c r="C274" s="3">
        <v>18</v>
      </c>
      <c r="D274" s="3" t="s">
        <v>16</v>
      </c>
      <c r="E274" s="3" t="s">
        <v>30</v>
      </c>
      <c r="F274" s="3">
        <v>2000</v>
      </c>
      <c r="G274" s="10">
        <v>2000</v>
      </c>
      <c r="H274" s="3">
        <v>3</v>
      </c>
      <c r="I274" s="3" t="s">
        <v>25</v>
      </c>
      <c r="J274" s="3">
        <v>5.52</v>
      </c>
      <c r="K274" s="3">
        <v>2.75</v>
      </c>
      <c r="L274" s="3">
        <v>1</v>
      </c>
      <c r="M274" s="3">
        <v>2.75</v>
      </c>
      <c r="N274" s="3" t="s">
        <v>17</v>
      </c>
      <c r="O274" s="3"/>
      <c r="P274">
        <f t="shared" si="8"/>
        <v>1.0052366483661472</v>
      </c>
      <c r="Q274">
        <f t="shared" si="9"/>
        <v>6.4200486876817102</v>
      </c>
    </row>
    <row r="275" spans="1:17" ht="14" x14ac:dyDescent="0.15">
      <c r="A275" s="2">
        <v>45591</v>
      </c>
      <c r="B275" s="3">
        <v>26</v>
      </c>
      <c r="C275" s="3">
        <v>18</v>
      </c>
      <c r="D275" s="3" t="s">
        <v>16</v>
      </c>
      <c r="E275" s="3" t="s">
        <v>30</v>
      </c>
      <c r="F275" s="3">
        <v>15000</v>
      </c>
      <c r="G275" s="12">
        <v>4000</v>
      </c>
      <c r="H275" s="3">
        <v>1</v>
      </c>
      <c r="I275" s="3" t="s">
        <v>25</v>
      </c>
      <c r="J275" s="3">
        <v>6.33</v>
      </c>
      <c r="K275" s="3">
        <v>2.75</v>
      </c>
      <c r="L275" s="3">
        <v>1</v>
      </c>
      <c r="M275" s="3">
        <v>2.75</v>
      </c>
      <c r="N275" s="3" t="s">
        <v>17</v>
      </c>
      <c r="O275" s="3"/>
      <c r="P275">
        <f t="shared" si="8"/>
        <v>0.91374426664958119</v>
      </c>
      <c r="Q275">
        <f t="shared" si="9"/>
        <v>2.0853280096076379</v>
      </c>
    </row>
    <row r="276" spans="1:17" ht="14" x14ac:dyDescent="0.15">
      <c r="A276" s="2">
        <v>45591</v>
      </c>
      <c r="B276" s="3">
        <v>26</v>
      </c>
      <c r="C276" s="3">
        <v>18</v>
      </c>
      <c r="D276" s="3" t="s">
        <v>16</v>
      </c>
      <c r="E276" s="3" t="s">
        <v>30</v>
      </c>
      <c r="F276" s="3">
        <v>15000</v>
      </c>
      <c r="G276" s="12">
        <v>4000</v>
      </c>
      <c r="H276" s="3">
        <v>2</v>
      </c>
      <c r="I276" s="3" t="s">
        <v>25</v>
      </c>
      <c r="J276" s="3">
        <v>6.15</v>
      </c>
      <c r="K276" s="3">
        <v>2.75</v>
      </c>
      <c r="L276" s="3">
        <v>1</v>
      </c>
      <c r="M276" s="3">
        <v>2.75</v>
      </c>
      <c r="N276" s="3" t="s">
        <v>17</v>
      </c>
      <c r="O276" s="3"/>
      <c r="P276">
        <f t="shared" si="8"/>
        <v>0.87212517744784213</v>
      </c>
      <c r="Q276">
        <f t="shared" si="9"/>
        <v>2.1585293224077571</v>
      </c>
    </row>
    <row r="277" spans="1:17" ht="14" x14ac:dyDescent="0.15">
      <c r="A277" s="2">
        <v>45591</v>
      </c>
      <c r="B277" s="3">
        <v>26</v>
      </c>
      <c r="C277" s="3">
        <v>18</v>
      </c>
      <c r="D277" s="3" t="s">
        <v>16</v>
      </c>
      <c r="E277" s="3" t="s">
        <v>30</v>
      </c>
      <c r="F277" s="3">
        <v>15000</v>
      </c>
      <c r="G277" s="12">
        <v>4000</v>
      </c>
      <c r="H277" s="3">
        <v>3</v>
      </c>
      <c r="I277" s="3" t="s">
        <v>25</v>
      </c>
      <c r="J277" s="3">
        <v>6.16</v>
      </c>
      <c r="K277" s="3">
        <v>2.75</v>
      </c>
      <c r="L277" s="3">
        <v>1</v>
      </c>
      <c r="M277" s="3">
        <v>2.75</v>
      </c>
      <c r="N277" s="3" t="s">
        <v>17</v>
      </c>
      <c r="O277" s="3"/>
      <c r="P277">
        <f t="shared" si="8"/>
        <v>0.96757852230762265</v>
      </c>
      <c r="Q277">
        <f t="shared" si="9"/>
        <v>2.0798016522287384</v>
      </c>
    </row>
    <row r="278" spans="1:17" ht="14" x14ac:dyDescent="0.15">
      <c r="A278" s="2">
        <v>45591</v>
      </c>
      <c r="B278" s="3">
        <v>26</v>
      </c>
      <c r="C278" s="3">
        <v>18</v>
      </c>
      <c r="D278" s="3" t="s">
        <v>16</v>
      </c>
      <c r="E278" s="3" t="s">
        <v>31</v>
      </c>
      <c r="F278" s="3">
        <v>4000</v>
      </c>
      <c r="G278" s="11">
        <v>4000</v>
      </c>
      <c r="H278" s="3">
        <v>1</v>
      </c>
      <c r="I278" s="3" t="s">
        <v>25</v>
      </c>
      <c r="J278" s="3">
        <v>4.62</v>
      </c>
      <c r="K278" s="3">
        <v>2.75</v>
      </c>
      <c r="L278" s="3">
        <v>1</v>
      </c>
      <c r="M278" s="3">
        <v>2.75</v>
      </c>
      <c r="N278" s="3" t="s">
        <v>17</v>
      </c>
      <c r="O278" s="3"/>
      <c r="P278">
        <f t="shared" si="8"/>
        <v>0.74846123300403555</v>
      </c>
      <c r="Q278">
        <f t="shared" si="9"/>
        <v>6.9697392171413055</v>
      </c>
    </row>
    <row r="279" spans="1:17" ht="14" x14ac:dyDescent="0.15">
      <c r="A279" s="2">
        <v>45591</v>
      </c>
      <c r="B279" s="3">
        <v>26</v>
      </c>
      <c r="C279" s="3">
        <v>18</v>
      </c>
      <c r="D279" s="3" t="s">
        <v>16</v>
      </c>
      <c r="E279" s="3" t="s">
        <v>31</v>
      </c>
      <c r="F279" s="3">
        <v>4000</v>
      </c>
      <c r="G279" s="11">
        <v>4000</v>
      </c>
      <c r="H279" s="3">
        <v>2</v>
      </c>
      <c r="I279" s="3" t="s">
        <v>25</v>
      </c>
      <c r="J279" s="3">
        <v>4.96</v>
      </c>
      <c r="K279" s="3">
        <v>2.75</v>
      </c>
      <c r="L279" s="3">
        <v>1</v>
      </c>
      <c r="M279" s="3">
        <v>2.75</v>
      </c>
      <c r="N279" s="3" t="s">
        <v>17</v>
      </c>
      <c r="O279" s="3"/>
      <c r="P279">
        <f t="shared" si="8"/>
        <v>0.85090850197485324</v>
      </c>
      <c r="Q279">
        <f t="shared" si="9"/>
        <v>7.2021244908249269</v>
      </c>
    </row>
    <row r="280" spans="1:17" ht="14" x14ac:dyDescent="0.15">
      <c r="A280" s="2">
        <v>45591</v>
      </c>
      <c r="B280" s="3">
        <v>26</v>
      </c>
      <c r="C280" s="3">
        <v>18</v>
      </c>
      <c r="D280" s="3" t="s">
        <v>16</v>
      </c>
      <c r="E280" s="3" t="s">
        <v>31</v>
      </c>
      <c r="F280" s="3">
        <v>4000</v>
      </c>
      <c r="G280" s="11">
        <v>4000</v>
      </c>
      <c r="H280" s="3">
        <v>3</v>
      </c>
      <c r="I280" s="3" t="s">
        <v>25</v>
      </c>
      <c r="J280" s="3">
        <v>3.66</v>
      </c>
      <c r="K280" s="3">
        <v>2.75</v>
      </c>
      <c r="L280" s="3">
        <v>1</v>
      </c>
      <c r="M280" s="3">
        <v>2.75</v>
      </c>
      <c r="N280" s="3" t="s">
        <v>17</v>
      </c>
      <c r="O280" s="3"/>
      <c r="P280">
        <f t="shared" si="8"/>
        <v>0.41241202987202069</v>
      </c>
      <c r="Q280">
        <f t="shared" si="9"/>
        <v>6.3238086832697897</v>
      </c>
    </row>
    <row r="281" spans="1:17" ht="14" x14ac:dyDescent="0.15">
      <c r="A281" s="2">
        <v>45591</v>
      </c>
      <c r="B281" s="3">
        <v>26</v>
      </c>
      <c r="C281" s="3">
        <v>18</v>
      </c>
      <c r="D281" s="3" t="s">
        <v>16</v>
      </c>
      <c r="E281" s="3" t="s">
        <v>31</v>
      </c>
      <c r="F281" s="3">
        <v>8000</v>
      </c>
      <c r="G281" s="12">
        <v>0</v>
      </c>
      <c r="H281" s="3">
        <v>1</v>
      </c>
      <c r="I281" s="3" t="s">
        <v>25</v>
      </c>
      <c r="J281" s="3">
        <v>7.13</v>
      </c>
      <c r="K281" s="3">
        <v>2.75</v>
      </c>
      <c r="L281" s="3"/>
      <c r="M281" s="3"/>
      <c r="N281" s="3" t="s">
        <v>17</v>
      </c>
      <c r="O281" s="3"/>
      <c r="P281">
        <f t="shared" si="8"/>
        <v>0.78079074020960082</v>
      </c>
      <c r="Q281">
        <f t="shared" si="9"/>
        <v>3.6628246268556599</v>
      </c>
    </row>
    <row r="282" spans="1:17" ht="28" x14ac:dyDescent="0.15">
      <c r="A282" s="2">
        <v>45591</v>
      </c>
      <c r="B282" s="3">
        <v>26</v>
      </c>
      <c r="C282" s="3">
        <v>18</v>
      </c>
      <c r="D282" s="3" t="s">
        <v>16</v>
      </c>
      <c r="E282" s="3" t="s">
        <v>31</v>
      </c>
      <c r="F282" s="3">
        <v>8000</v>
      </c>
      <c r="G282" s="12">
        <v>0</v>
      </c>
      <c r="H282" s="3">
        <v>2</v>
      </c>
      <c r="I282" s="3" t="s">
        <v>25</v>
      </c>
      <c r="J282" s="3">
        <v>4.7099999999999998E-3</v>
      </c>
      <c r="K282" s="3"/>
      <c r="L282" s="3"/>
      <c r="M282" s="3"/>
      <c r="N282" s="3" t="s">
        <v>17</v>
      </c>
      <c r="O282" s="3" t="s">
        <v>38</v>
      </c>
      <c r="Q282">
        <f t="shared" si="9"/>
        <v>-2.1997837199896493</v>
      </c>
    </row>
    <row r="283" spans="1:17" ht="14" x14ac:dyDescent="0.15">
      <c r="A283" s="2">
        <v>45591</v>
      </c>
      <c r="B283" s="3">
        <v>26</v>
      </c>
      <c r="C283" s="3">
        <v>18</v>
      </c>
      <c r="D283" s="3" t="s">
        <v>16</v>
      </c>
      <c r="E283" s="3" t="s">
        <v>31</v>
      </c>
      <c r="F283" s="3">
        <v>8000</v>
      </c>
      <c r="G283" s="12">
        <v>0</v>
      </c>
      <c r="H283" s="3">
        <v>3</v>
      </c>
      <c r="I283" s="3" t="s">
        <v>25</v>
      </c>
      <c r="J283" s="3">
        <v>0.97799999999999998</v>
      </c>
      <c r="K283" s="3">
        <v>0.97799999999999998</v>
      </c>
      <c r="L283" s="3"/>
      <c r="M283" s="3"/>
      <c r="N283" s="3" t="s">
        <v>17</v>
      </c>
      <c r="O283" s="3"/>
      <c r="P283">
        <f t="shared" si="8"/>
        <v>-0.29512803554364703</v>
      </c>
      <c r="Q283">
        <f t="shared" si="9"/>
        <v>0.63437281847104154</v>
      </c>
    </row>
    <row r="284" spans="1:17" ht="14" x14ac:dyDescent="0.15">
      <c r="A284" s="2">
        <v>45591</v>
      </c>
      <c r="B284" s="3">
        <v>26</v>
      </c>
      <c r="C284" s="3">
        <v>18</v>
      </c>
      <c r="D284" s="3" t="s">
        <v>16</v>
      </c>
      <c r="E284" s="3" t="s">
        <v>32</v>
      </c>
      <c r="F284" s="5">
        <v>0.01</v>
      </c>
      <c r="G284" s="13">
        <v>0.01</v>
      </c>
      <c r="H284" s="3">
        <v>1</v>
      </c>
      <c r="I284" s="3" t="s">
        <v>25</v>
      </c>
      <c r="J284" s="3">
        <v>7.87</v>
      </c>
      <c r="K284" s="3">
        <v>2.75</v>
      </c>
      <c r="L284" s="3">
        <v>1</v>
      </c>
      <c r="M284" s="3">
        <v>2.75</v>
      </c>
      <c r="N284" s="3" t="s">
        <v>17</v>
      </c>
      <c r="O284" s="3"/>
      <c r="P284">
        <f t="shared" si="8"/>
        <v>1.5169320170954645</v>
      </c>
      <c r="Q284">
        <f t="shared" si="9"/>
        <v>8.7832026015742848</v>
      </c>
    </row>
    <row r="285" spans="1:17" ht="14" x14ac:dyDescent="0.15">
      <c r="A285" s="2">
        <v>45591</v>
      </c>
      <c r="B285" s="3">
        <v>26</v>
      </c>
      <c r="C285" s="3">
        <v>18</v>
      </c>
      <c r="D285" s="3" t="s">
        <v>16</v>
      </c>
      <c r="E285" s="3" t="s">
        <v>32</v>
      </c>
      <c r="F285" s="5">
        <v>0.01</v>
      </c>
      <c r="G285" s="13">
        <v>0.01</v>
      </c>
      <c r="H285" s="3">
        <v>2</v>
      </c>
      <c r="I285" s="3" t="s">
        <v>25</v>
      </c>
      <c r="J285" s="3">
        <v>7.1</v>
      </c>
      <c r="K285" s="3">
        <v>2.75</v>
      </c>
      <c r="L285" s="3">
        <v>1</v>
      </c>
      <c r="M285" s="3">
        <v>2.75</v>
      </c>
      <c r="N285" s="3" t="s">
        <v>17</v>
      </c>
      <c r="O285" s="3"/>
      <c r="P285">
        <f t="shared" si="8"/>
        <v>1.3683874059800223</v>
      </c>
      <c r="Q285">
        <f t="shared" si="9"/>
        <v>8.3760045553658813</v>
      </c>
    </row>
    <row r="286" spans="1:17" ht="14" x14ac:dyDescent="0.15">
      <c r="A286" s="2">
        <v>45591</v>
      </c>
      <c r="B286" s="3">
        <v>26</v>
      </c>
      <c r="C286" s="3">
        <v>18</v>
      </c>
      <c r="D286" s="3" t="s">
        <v>16</v>
      </c>
      <c r="E286" s="3" t="s">
        <v>32</v>
      </c>
      <c r="F286" s="5">
        <v>0.01</v>
      </c>
      <c r="G286" s="13">
        <v>0.01</v>
      </c>
      <c r="H286" s="3">
        <v>3</v>
      </c>
      <c r="I286" s="3" t="s">
        <v>25</v>
      </c>
      <c r="J286" s="3">
        <v>7.49</v>
      </c>
      <c r="K286" s="3">
        <v>2.75</v>
      </c>
      <c r="L286" s="3">
        <v>1</v>
      </c>
      <c r="M286" s="3">
        <v>2.75</v>
      </c>
      <c r="N286" s="3" t="s">
        <v>17</v>
      </c>
      <c r="O286" s="3"/>
      <c r="P286">
        <f t="shared" si="8"/>
        <v>1.4455341000467292</v>
      </c>
      <c r="Q286">
        <f t="shared" si="9"/>
        <v>8.3260374289058703</v>
      </c>
    </row>
    <row r="287" spans="1:17" ht="14" x14ac:dyDescent="0.15">
      <c r="A287" s="2">
        <v>45594</v>
      </c>
      <c r="B287" s="3">
        <v>29</v>
      </c>
      <c r="C287" s="3">
        <v>21</v>
      </c>
      <c r="D287" s="3" t="s">
        <v>16</v>
      </c>
      <c r="E287" s="3" t="s">
        <v>24</v>
      </c>
      <c r="F287" s="3">
        <v>100</v>
      </c>
      <c r="G287" s="6">
        <v>100</v>
      </c>
      <c r="H287" s="3">
        <v>1</v>
      </c>
      <c r="I287" s="3" t="s">
        <v>25</v>
      </c>
      <c r="J287" s="3">
        <v>5.57</v>
      </c>
      <c r="K287" s="3"/>
      <c r="L287" s="3">
        <v>2</v>
      </c>
      <c r="M287" s="3">
        <v>2.75</v>
      </c>
      <c r="N287" s="3" t="s">
        <v>17</v>
      </c>
      <c r="O287" s="3"/>
      <c r="P287">
        <f t="shared" si="8"/>
        <v>1.0182457089280097</v>
      </c>
      <c r="Q287">
        <f t="shared" si="9"/>
        <v>6.9218814584582153</v>
      </c>
    </row>
    <row r="288" spans="1:17" ht="14" x14ac:dyDescent="0.15">
      <c r="A288" s="2">
        <v>45594</v>
      </c>
      <c r="B288" s="3">
        <v>29</v>
      </c>
      <c r="C288" s="3">
        <v>21</v>
      </c>
      <c r="D288" s="3" t="s">
        <v>16</v>
      </c>
      <c r="E288" s="3" t="s">
        <v>24</v>
      </c>
      <c r="F288" s="3">
        <v>100</v>
      </c>
      <c r="G288" s="6">
        <v>100</v>
      </c>
      <c r="H288" s="3">
        <v>2</v>
      </c>
      <c r="I288" s="3" t="s">
        <v>25</v>
      </c>
      <c r="J288" s="3">
        <v>5.86</v>
      </c>
      <c r="K288" s="3"/>
      <c r="L288" s="3">
        <v>2</v>
      </c>
      <c r="M288" s="3">
        <v>2.75</v>
      </c>
      <c r="N288" s="3" t="s">
        <v>17</v>
      </c>
      <c r="O288" s="3"/>
      <c r="P288">
        <f t="shared" si="8"/>
        <v>1.0914690460102259</v>
      </c>
      <c r="Q288">
        <f t="shared" si="9"/>
        <v>6.670155319802662</v>
      </c>
    </row>
    <row r="289" spans="1:17" ht="14" x14ac:dyDescent="0.15">
      <c r="A289" s="2">
        <v>45594</v>
      </c>
      <c r="B289" s="3">
        <v>29</v>
      </c>
      <c r="C289" s="3">
        <v>21</v>
      </c>
      <c r="D289" s="3" t="s">
        <v>16</v>
      </c>
      <c r="E289" s="3" t="s">
        <v>24</v>
      </c>
      <c r="F289" s="3">
        <v>100</v>
      </c>
      <c r="G289" s="6">
        <v>100</v>
      </c>
      <c r="H289" s="3">
        <v>3</v>
      </c>
      <c r="I289" s="3" t="s">
        <v>25</v>
      </c>
      <c r="J289" s="3">
        <v>6.62</v>
      </c>
      <c r="K289" s="3"/>
      <c r="L289" s="3">
        <v>2</v>
      </c>
      <c r="M289" s="3">
        <v>2.75</v>
      </c>
      <c r="N289" s="3" t="s">
        <v>17</v>
      </c>
      <c r="O289" s="3"/>
      <c r="P289">
        <f t="shared" si="8"/>
        <v>1.2673995983951958</v>
      </c>
      <c r="Q289">
        <f t="shared" si="9"/>
        <v>7.3940697911997573</v>
      </c>
    </row>
    <row r="290" spans="1:17" ht="14" x14ac:dyDescent="0.15">
      <c r="A290" s="2">
        <v>45594</v>
      </c>
      <c r="B290" s="3">
        <v>29</v>
      </c>
      <c r="C290" s="3">
        <v>21</v>
      </c>
      <c r="D290" s="3" t="s">
        <v>16</v>
      </c>
      <c r="E290" s="3" t="s">
        <v>24</v>
      </c>
      <c r="F290" s="3">
        <v>1000</v>
      </c>
      <c r="G290" s="7">
        <v>200</v>
      </c>
      <c r="H290" s="3">
        <v>1</v>
      </c>
      <c r="I290" s="3" t="s">
        <v>25</v>
      </c>
      <c r="J290" s="3">
        <v>6.73</v>
      </c>
      <c r="K290" s="3"/>
      <c r="L290" s="3">
        <v>2</v>
      </c>
      <c r="M290" s="3">
        <v>2.75</v>
      </c>
      <c r="N290" s="3" t="s">
        <v>17</v>
      </c>
      <c r="O290" s="3"/>
      <c r="P290">
        <f t="shared" si="8"/>
        <v>1.2911748861982952</v>
      </c>
      <c r="Q290">
        <f t="shared" si="9"/>
        <v>3.3024339362032276</v>
      </c>
    </row>
    <row r="291" spans="1:17" ht="14" x14ac:dyDescent="0.15">
      <c r="A291" s="2">
        <v>45594</v>
      </c>
      <c r="B291" s="3">
        <v>29</v>
      </c>
      <c r="C291" s="3">
        <v>21</v>
      </c>
      <c r="D291" s="3" t="s">
        <v>16</v>
      </c>
      <c r="E291" s="3" t="s">
        <v>24</v>
      </c>
      <c r="F291" s="3">
        <v>1000</v>
      </c>
      <c r="G291" s="7">
        <v>200</v>
      </c>
      <c r="H291" s="3">
        <v>2</v>
      </c>
      <c r="I291" s="3" t="s">
        <v>25</v>
      </c>
      <c r="J291" s="3">
        <v>6.21</v>
      </c>
      <c r="K291" s="3"/>
      <c r="L291" s="3">
        <v>2</v>
      </c>
      <c r="M291" s="3">
        <v>2.75</v>
      </c>
      <c r="N291" s="3" t="s">
        <v>17</v>
      </c>
      <c r="O291" s="3"/>
      <c r="P291">
        <f t="shared" si="8"/>
        <v>1.1751616498084596</v>
      </c>
      <c r="Q291">
        <f t="shared" si="9"/>
        <v>3.2390501872438415</v>
      </c>
    </row>
    <row r="292" spans="1:17" ht="14" x14ac:dyDescent="0.15">
      <c r="A292" s="2">
        <v>45594</v>
      </c>
      <c r="B292" s="3">
        <v>29</v>
      </c>
      <c r="C292" s="3">
        <v>21</v>
      </c>
      <c r="D292" s="3" t="s">
        <v>16</v>
      </c>
      <c r="E292" s="3" t="s">
        <v>24</v>
      </c>
      <c r="F292" s="3">
        <v>1000</v>
      </c>
      <c r="G292" s="7">
        <v>200</v>
      </c>
      <c r="H292" s="3">
        <v>3</v>
      </c>
      <c r="I292" s="3" t="s">
        <v>25</v>
      </c>
      <c r="J292" s="3">
        <v>5.36</v>
      </c>
      <c r="K292" s="3"/>
      <c r="L292" s="3">
        <v>2</v>
      </c>
      <c r="M292" s="3">
        <v>2.75</v>
      </c>
      <c r="N292" s="3" t="s">
        <v>17</v>
      </c>
      <c r="O292" s="3"/>
      <c r="P292">
        <f t="shared" si="8"/>
        <v>0.96280138204575061</v>
      </c>
      <c r="Q292">
        <f t="shared" si="9"/>
        <v>3.041072452554098</v>
      </c>
    </row>
    <row r="293" spans="1:17" ht="14" x14ac:dyDescent="0.15">
      <c r="A293" s="2">
        <v>45594</v>
      </c>
      <c r="B293" s="3">
        <v>29</v>
      </c>
      <c r="C293" s="3">
        <v>21</v>
      </c>
      <c r="D293" s="3" t="s">
        <v>16</v>
      </c>
      <c r="E293" s="3" t="s">
        <v>27</v>
      </c>
      <c r="F293" s="3">
        <v>1250</v>
      </c>
      <c r="G293" s="8">
        <v>1250</v>
      </c>
      <c r="H293" s="3">
        <v>1</v>
      </c>
      <c r="I293" s="3" t="s">
        <v>25</v>
      </c>
      <c r="J293" s="3">
        <v>4.84</v>
      </c>
      <c r="K293" s="3"/>
      <c r="L293" s="3">
        <v>2</v>
      </c>
      <c r="M293" s="3">
        <v>2.75</v>
      </c>
      <c r="N293" s="3" t="s">
        <v>17</v>
      </c>
      <c r="O293" s="3"/>
      <c r="P293">
        <f t="shared" si="8"/>
        <v>0.81557542886257262</v>
      </c>
      <c r="Q293">
        <f t="shared" si="9"/>
        <v>7.3801306263993611</v>
      </c>
    </row>
    <row r="294" spans="1:17" ht="14" x14ac:dyDescent="0.15">
      <c r="A294" s="2">
        <v>45594</v>
      </c>
      <c r="B294" s="3">
        <v>29</v>
      </c>
      <c r="C294" s="3">
        <v>21</v>
      </c>
      <c r="D294" s="3" t="s">
        <v>16</v>
      </c>
      <c r="E294" s="3" t="s">
        <v>27</v>
      </c>
      <c r="F294" s="3">
        <v>1250</v>
      </c>
      <c r="G294" s="8">
        <v>1250</v>
      </c>
      <c r="H294" s="3">
        <v>2</v>
      </c>
      <c r="I294" s="3" t="s">
        <v>25</v>
      </c>
      <c r="J294" s="3">
        <v>5.72</v>
      </c>
      <c r="K294" s="3"/>
      <c r="L294" s="3">
        <v>2</v>
      </c>
      <c r="M294" s="3">
        <v>2.75</v>
      </c>
      <c r="N294" s="3" t="s">
        <v>17</v>
      </c>
      <c r="O294" s="3"/>
      <c r="P294">
        <f t="shared" si="8"/>
        <v>1.0565835283663676</v>
      </c>
      <c r="Q294">
        <f t="shared" si="9"/>
        <v>7.4830749404738279</v>
      </c>
    </row>
    <row r="295" spans="1:17" ht="14" x14ac:dyDescent="0.15">
      <c r="A295" s="2">
        <v>45594</v>
      </c>
      <c r="B295" s="3">
        <v>29</v>
      </c>
      <c r="C295" s="3">
        <v>21</v>
      </c>
      <c r="D295" s="3" t="s">
        <v>16</v>
      </c>
      <c r="E295" s="3" t="s">
        <v>27</v>
      </c>
      <c r="F295" s="3">
        <v>1250</v>
      </c>
      <c r="G295" s="8">
        <v>1250</v>
      </c>
      <c r="H295" s="3">
        <v>3</v>
      </c>
      <c r="I295" s="3" t="s">
        <v>25</v>
      </c>
      <c r="J295" s="3">
        <v>5.34</v>
      </c>
      <c r="K295" s="3"/>
      <c r="L295" s="3">
        <v>2</v>
      </c>
      <c r="M295" s="3">
        <v>2.75</v>
      </c>
      <c r="N295" s="3" t="s">
        <v>17</v>
      </c>
      <c r="O295" s="3"/>
      <c r="P295">
        <f t="shared" si="8"/>
        <v>0.95740812327553193</v>
      </c>
      <c r="Q295">
        <f t="shared" si="9"/>
        <v>8.0316773561115973</v>
      </c>
    </row>
    <row r="296" spans="1:17" ht="14" x14ac:dyDescent="0.15">
      <c r="A296" s="2">
        <v>45594</v>
      </c>
      <c r="B296" s="3">
        <v>29</v>
      </c>
      <c r="C296" s="3">
        <v>21</v>
      </c>
      <c r="D296" s="3" t="s">
        <v>16</v>
      </c>
      <c r="E296" s="3" t="s">
        <v>27</v>
      </c>
      <c r="F296" s="3">
        <v>5000</v>
      </c>
      <c r="G296" s="7">
        <v>2000</v>
      </c>
      <c r="H296" s="3">
        <v>1</v>
      </c>
      <c r="I296" s="3" t="s">
        <v>25</v>
      </c>
      <c r="J296" s="3">
        <v>6.69</v>
      </c>
      <c r="K296" s="3"/>
      <c r="L296" s="3">
        <v>2</v>
      </c>
      <c r="M296" s="3">
        <v>2.75</v>
      </c>
      <c r="N296" s="3" t="s">
        <v>17</v>
      </c>
      <c r="O296" s="3"/>
      <c r="P296">
        <f t="shared" si="8"/>
        <v>1.2825745922294391</v>
      </c>
      <c r="Q296">
        <f t="shared" si="9"/>
        <v>3.1436118972782157</v>
      </c>
    </row>
    <row r="297" spans="1:17" ht="14" x14ac:dyDescent="0.15">
      <c r="A297" s="2">
        <v>45594</v>
      </c>
      <c r="B297" s="3">
        <v>29</v>
      </c>
      <c r="C297" s="3">
        <v>21</v>
      </c>
      <c r="D297" s="3" t="s">
        <v>16</v>
      </c>
      <c r="E297" s="3" t="s">
        <v>27</v>
      </c>
      <c r="F297" s="3">
        <v>5000</v>
      </c>
      <c r="G297" s="7">
        <v>2000</v>
      </c>
      <c r="H297" s="3">
        <v>2</v>
      </c>
      <c r="I297" s="3" t="s">
        <v>25</v>
      </c>
      <c r="J297" s="3">
        <v>6.57</v>
      </c>
      <c r="K297" s="3"/>
      <c r="L297" s="3">
        <v>2</v>
      </c>
      <c r="M297" s="3">
        <v>2.75</v>
      </c>
      <c r="N297" s="3" t="s">
        <v>17</v>
      </c>
      <c r="O297" s="3"/>
      <c r="P297">
        <f t="shared" si="8"/>
        <v>1.2564617519103078</v>
      </c>
      <c r="Q297">
        <f t="shared" si="9"/>
        <v>3.5707733317863086</v>
      </c>
    </row>
    <row r="298" spans="1:17" ht="14" x14ac:dyDescent="0.15">
      <c r="A298" s="2">
        <v>45594</v>
      </c>
      <c r="B298" s="3">
        <v>29</v>
      </c>
      <c r="C298" s="3">
        <v>21</v>
      </c>
      <c r="D298" s="3" t="s">
        <v>16</v>
      </c>
      <c r="E298" s="3" t="s">
        <v>27</v>
      </c>
      <c r="F298" s="3">
        <v>5000</v>
      </c>
      <c r="G298" s="7">
        <v>2000</v>
      </c>
      <c r="H298" s="3">
        <v>3</v>
      </c>
      <c r="I298" s="3" t="s">
        <v>25</v>
      </c>
      <c r="J298" s="3">
        <v>6.82</v>
      </c>
      <c r="K298" s="3"/>
      <c r="L298" s="3">
        <v>2</v>
      </c>
      <c r="M298" s="3">
        <v>2.75</v>
      </c>
      <c r="N298" s="3" t="s">
        <v>17</v>
      </c>
      <c r="O298" s="3"/>
      <c r="P298">
        <f t="shared" si="8"/>
        <v>1.3103401206121505</v>
      </c>
      <c r="Q298">
        <f t="shared" si="9"/>
        <v>3.537032071060692</v>
      </c>
    </row>
    <row r="299" spans="1:17" ht="14" x14ac:dyDescent="0.15">
      <c r="A299" s="2">
        <v>45594</v>
      </c>
      <c r="B299" s="3">
        <v>29</v>
      </c>
      <c r="C299" s="3">
        <v>21</v>
      </c>
      <c r="D299" s="3" t="s">
        <v>16</v>
      </c>
      <c r="E299" s="3" t="s">
        <v>28</v>
      </c>
      <c r="F299" s="3">
        <v>1500</v>
      </c>
      <c r="G299" s="9">
        <v>1500</v>
      </c>
      <c r="H299" s="3">
        <v>1</v>
      </c>
      <c r="I299" s="3" t="s">
        <v>25</v>
      </c>
      <c r="J299" s="3">
        <v>5.86</v>
      </c>
      <c r="K299" s="3"/>
      <c r="L299" s="3">
        <v>2</v>
      </c>
      <c r="M299" s="3">
        <v>2.75</v>
      </c>
      <c r="N299" s="3" t="s">
        <v>17</v>
      </c>
      <c r="O299" s="3"/>
      <c r="P299">
        <f t="shared" si="8"/>
        <v>1.0914690460102259</v>
      </c>
      <c r="Q299">
        <f t="shared" si="9"/>
        <v>6.6980789051269083</v>
      </c>
    </row>
    <row r="300" spans="1:17" ht="14" x14ac:dyDescent="0.15">
      <c r="A300" s="2">
        <v>45594</v>
      </c>
      <c r="B300" s="3">
        <v>29</v>
      </c>
      <c r="C300" s="3">
        <v>21</v>
      </c>
      <c r="D300" s="3" t="s">
        <v>16</v>
      </c>
      <c r="E300" s="3" t="s">
        <v>28</v>
      </c>
      <c r="F300" s="3">
        <v>1500</v>
      </c>
      <c r="G300" s="9">
        <v>1500</v>
      </c>
      <c r="H300" s="3">
        <v>2</v>
      </c>
      <c r="I300" s="3" t="s">
        <v>25</v>
      </c>
      <c r="J300" s="3">
        <v>6.27</v>
      </c>
      <c r="K300" s="3"/>
      <c r="L300" s="3">
        <v>2</v>
      </c>
      <c r="M300" s="3">
        <v>2.75</v>
      </c>
      <c r="N300" s="3" t="s">
        <v>17</v>
      </c>
      <c r="O300" s="3"/>
      <c r="P300">
        <f t="shared" si="8"/>
        <v>1.1890338243900169</v>
      </c>
      <c r="Q300">
        <f t="shared" si="9"/>
        <v>6.6843561795931734</v>
      </c>
    </row>
    <row r="301" spans="1:17" ht="14" x14ac:dyDescent="0.15">
      <c r="A301" s="2">
        <v>45594</v>
      </c>
      <c r="B301" s="3">
        <v>29</v>
      </c>
      <c r="C301" s="3">
        <v>21</v>
      </c>
      <c r="D301" s="3" t="s">
        <v>16</v>
      </c>
      <c r="E301" s="3" t="s">
        <v>28</v>
      </c>
      <c r="F301" s="3">
        <v>1500</v>
      </c>
      <c r="G301" s="9">
        <v>1500</v>
      </c>
      <c r="H301" s="3">
        <v>3</v>
      </c>
      <c r="I301" s="3" t="s">
        <v>25</v>
      </c>
      <c r="J301" s="3">
        <v>6.65</v>
      </c>
      <c r="K301" s="3"/>
      <c r="L301" s="3">
        <v>2</v>
      </c>
      <c r="M301" s="3">
        <v>2.75</v>
      </c>
      <c r="N301" s="3" t="s">
        <v>17</v>
      </c>
      <c r="O301" s="3"/>
      <c r="P301">
        <f t="shared" si="8"/>
        <v>1.2739227219765303</v>
      </c>
      <c r="Q301">
        <f t="shared" si="9"/>
        <v>6.7486874351223349</v>
      </c>
    </row>
    <row r="302" spans="1:17" ht="14" x14ac:dyDescent="0.15">
      <c r="A302" s="2">
        <v>45594</v>
      </c>
      <c r="B302" s="3">
        <v>29</v>
      </c>
      <c r="C302" s="3">
        <v>21</v>
      </c>
      <c r="D302" s="3" t="s">
        <v>16</v>
      </c>
      <c r="E302" s="3" t="s">
        <v>28</v>
      </c>
      <c r="F302" s="3">
        <v>5000</v>
      </c>
      <c r="G302" s="7">
        <v>0</v>
      </c>
      <c r="H302" s="3">
        <v>1</v>
      </c>
      <c r="I302" s="3" t="s">
        <v>25</v>
      </c>
      <c r="J302" s="3"/>
      <c r="K302" s="3"/>
      <c r="L302" s="3"/>
      <c r="M302" s="3"/>
      <c r="N302" s="3"/>
      <c r="O302" s="3"/>
      <c r="Q302">
        <f t="shared" si="9"/>
        <v>-0.86488306908694301</v>
      </c>
    </row>
    <row r="303" spans="1:17" ht="14" x14ac:dyDescent="0.15">
      <c r="A303" s="2">
        <v>45594</v>
      </c>
      <c r="B303" s="3">
        <v>29</v>
      </c>
      <c r="C303" s="3">
        <v>21</v>
      </c>
      <c r="D303" s="3" t="s">
        <v>16</v>
      </c>
      <c r="E303" s="3" t="s">
        <v>28</v>
      </c>
      <c r="F303" s="3">
        <v>5000</v>
      </c>
      <c r="G303" s="7">
        <v>0</v>
      </c>
      <c r="H303" s="3">
        <v>2</v>
      </c>
      <c r="I303" s="3" t="s">
        <v>25</v>
      </c>
      <c r="J303" s="3"/>
      <c r="K303" s="3"/>
      <c r="L303" s="3"/>
      <c r="M303" s="3"/>
      <c r="N303" s="3"/>
      <c r="O303" s="3"/>
      <c r="Q303">
        <f t="shared" si="9"/>
        <v>-1.1725504708491359</v>
      </c>
    </row>
    <row r="304" spans="1:17" ht="14" x14ac:dyDescent="0.15">
      <c r="A304" s="2">
        <v>45594</v>
      </c>
      <c r="B304" s="3">
        <v>29</v>
      </c>
      <c r="C304" s="3">
        <v>21</v>
      </c>
      <c r="D304" s="3" t="s">
        <v>16</v>
      </c>
      <c r="E304" s="3" t="s">
        <v>28</v>
      </c>
      <c r="F304" s="3">
        <v>5000</v>
      </c>
      <c r="G304" s="7">
        <v>0</v>
      </c>
      <c r="H304" s="3">
        <v>3</v>
      </c>
      <c r="I304" s="3" t="s">
        <v>25</v>
      </c>
      <c r="J304" s="3"/>
      <c r="K304" s="3"/>
      <c r="L304" s="3"/>
      <c r="M304" s="3"/>
      <c r="N304" s="3"/>
      <c r="O304" s="3"/>
      <c r="Q304">
        <f t="shared" si="9"/>
        <v>-1.0371986179542496</v>
      </c>
    </row>
    <row r="305" spans="1:17" ht="14" x14ac:dyDescent="0.15">
      <c r="A305" s="2">
        <v>45594</v>
      </c>
      <c r="B305" s="3">
        <v>29</v>
      </c>
      <c r="C305" s="3">
        <v>21</v>
      </c>
      <c r="D305" s="3" t="s">
        <v>16</v>
      </c>
      <c r="E305" s="3" t="s">
        <v>29</v>
      </c>
      <c r="F305" s="3">
        <v>1000</v>
      </c>
      <c r="G305" s="7">
        <v>0</v>
      </c>
      <c r="H305" s="3">
        <v>1</v>
      </c>
      <c r="I305" s="3" t="s">
        <v>25</v>
      </c>
      <c r="J305" s="3"/>
      <c r="K305" s="3"/>
      <c r="L305" s="3"/>
      <c r="M305" s="3"/>
      <c r="N305" s="3"/>
      <c r="O305" s="3"/>
      <c r="Q305">
        <f t="shared" si="9"/>
        <v>-1.196691911005098</v>
      </c>
    </row>
    <row r="306" spans="1:17" ht="14" x14ac:dyDescent="0.15">
      <c r="A306" s="2">
        <v>45594</v>
      </c>
      <c r="B306" s="3">
        <v>29</v>
      </c>
      <c r="C306" s="3">
        <v>21</v>
      </c>
      <c r="D306" s="3" t="s">
        <v>16</v>
      </c>
      <c r="E306" s="3" t="s">
        <v>29</v>
      </c>
      <c r="F306" s="3">
        <v>1000</v>
      </c>
      <c r="G306" s="7">
        <v>0</v>
      </c>
      <c r="H306" s="3">
        <v>2</v>
      </c>
      <c r="I306" s="3" t="s">
        <v>25</v>
      </c>
      <c r="J306" s="3"/>
      <c r="K306" s="3"/>
      <c r="L306" s="3"/>
      <c r="M306" s="3"/>
      <c r="N306" s="3"/>
      <c r="O306" s="3"/>
      <c r="Q306">
        <f t="shared" si="9"/>
        <v>-0.67842339617075076</v>
      </c>
    </row>
    <row r="307" spans="1:17" ht="14" x14ac:dyDescent="0.15">
      <c r="A307" s="2">
        <v>45594</v>
      </c>
      <c r="B307" s="3">
        <v>29</v>
      </c>
      <c r="C307" s="3">
        <v>21</v>
      </c>
      <c r="D307" s="3" t="s">
        <v>16</v>
      </c>
      <c r="E307" s="3" t="s">
        <v>29</v>
      </c>
      <c r="F307" s="3">
        <v>1000</v>
      </c>
      <c r="G307" s="7">
        <v>0</v>
      </c>
      <c r="H307" s="3">
        <v>3</v>
      </c>
      <c r="I307" s="3" t="s">
        <v>25</v>
      </c>
      <c r="J307" s="3"/>
      <c r="K307" s="3"/>
      <c r="L307" s="3"/>
      <c r="M307" s="3"/>
      <c r="N307" s="3"/>
      <c r="O307" s="3"/>
      <c r="Q307">
        <f t="shared" si="9"/>
        <v>-1.0706116400947641</v>
      </c>
    </row>
    <row r="308" spans="1:17" ht="14" x14ac:dyDescent="0.15">
      <c r="A308" s="2">
        <v>45594</v>
      </c>
      <c r="B308" s="3">
        <v>29</v>
      </c>
      <c r="C308" s="3">
        <v>21</v>
      </c>
      <c r="D308" s="3" t="s">
        <v>16</v>
      </c>
      <c r="E308" s="3" t="s">
        <v>29</v>
      </c>
      <c r="F308" s="3">
        <v>2500</v>
      </c>
      <c r="G308" s="7">
        <v>0</v>
      </c>
      <c r="H308" s="3">
        <v>1</v>
      </c>
      <c r="I308" s="3" t="s">
        <v>25</v>
      </c>
      <c r="J308" s="3"/>
      <c r="K308" s="3"/>
      <c r="L308" s="3"/>
      <c r="M308" s="3"/>
      <c r="N308" s="3"/>
      <c r="O308" s="3"/>
      <c r="Q308">
        <f t="shared" si="9"/>
        <v>-0.76532414931992176</v>
      </c>
    </row>
    <row r="309" spans="1:17" ht="14" x14ac:dyDescent="0.15">
      <c r="A309" s="2">
        <v>45594</v>
      </c>
      <c r="B309" s="3">
        <v>29</v>
      </c>
      <c r="C309" s="3">
        <v>21</v>
      </c>
      <c r="D309" s="3" t="s">
        <v>16</v>
      </c>
      <c r="E309" s="3" t="s">
        <v>29</v>
      </c>
      <c r="F309" s="3">
        <v>2500</v>
      </c>
      <c r="G309" s="7">
        <v>0</v>
      </c>
      <c r="H309" s="3">
        <v>2</v>
      </c>
      <c r="I309" s="3" t="s">
        <v>25</v>
      </c>
      <c r="J309" s="3"/>
      <c r="K309" s="3"/>
      <c r="L309" s="3"/>
      <c r="M309" s="3"/>
      <c r="N309" s="3"/>
      <c r="O309" s="3"/>
      <c r="Q309">
        <f t="shared" si="9"/>
        <v>-1.39259110105728</v>
      </c>
    </row>
    <row r="310" spans="1:17" ht="14" x14ac:dyDescent="0.15">
      <c r="A310" s="2">
        <v>45594</v>
      </c>
      <c r="B310" s="3">
        <v>29</v>
      </c>
      <c r="C310" s="3">
        <v>21</v>
      </c>
      <c r="D310" s="3" t="s">
        <v>16</v>
      </c>
      <c r="E310" s="3" t="s">
        <v>29</v>
      </c>
      <c r="F310" s="3">
        <v>2500</v>
      </c>
      <c r="G310" s="7">
        <v>0</v>
      </c>
      <c r="H310" s="3">
        <v>3</v>
      </c>
      <c r="I310" s="3" t="s">
        <v>25</v>
      </c>
      <c r="J310" s="3"/>
      <c r="K310" s="3"/>
      <c r="L310" s="3"/>
      <c r="M310" s="3"/>
      <c r="N310" s="3"/>
      <c r="O310" s="3"/>
      <c r="Q310">
        <f t="shared" ref="Q310:Q325" si="10">P310+Q271</f>
        <v>-0.59699505621605298</v>
      </c>
    </row>
    <row r="311" spans="1:17" ht="14" x14ac:dyDescent="0.15">
      <c r="A311" s="2">
        <v>45594</v>
      </c>
      <c r="B311" s="3">
        <v>29</v>
      </c>
      <c r="C311" s="3">
        <v>21</v>
      </c>
      <c r="D311" s="3" t="s">
        <v>16</v>
      </c>
      <c r="E311" s="3" t="s">
        <v>30</v>
      </c>
      <c r="F311" s="3">
        <v>2000</v>
      </c>
      <c r="G311" s="10">
        <v>2000</v>
      </c>
      <c r="H311" s="3">
        <v>1</v>
      </c>
      <c r="I311" s="3" t="s">
        <v>25</v>
      </c>
      <c r="J311" s="3">
        <v>6.08</v>
      </c>
      <c r="K311" s="3"/>
      <c r="L311" s="3">
        <v>2</v>
      </c>
      <c r="M311" s="3">
        <v>2.75</v>
      </c>
      <c r="N311" s="3" t="s">
        <v>17</v>
      </c>
      <c r="O311" s="3"/>
      <c r="P311">
        <f t="shared" ref="P311:P325" si="11">LOG(J311/K272,2)</f>
        <v>1.1446397050315635</v>
      </c>
      <c r="Q311">
        <f t="shared" si="10"/>
        <v>6.8555807033447307</v>
      </c>
    </row>
    <row r="312" spans="1:17" ht="14" x14ac:dyDescent="0.15">
      <c r="A312" s="2">
        <v>45594</v>
      </c>
      <c r="B312" s="3">
        <v>29</v>
      </c>
      <c r="C312" s="3">
        <v>21</v>
      </c>
      <c r="D312" s="3" t="s">
        <v>16</v>
      </c>
      <c r="E312" s="3" t="s">
        <v>30</v>
      </c>
      <c r="F312" s="3">
        <v>2000</v>
      </c>
      <c r="G312" s="10">
        <v>2000</v>
      </c>
      <c r="H312" s="3">
        <v>2</v>
      </c>
      <c r="I312" s="3" t="s">
        <v>25</v>
      </c>
      <c r="J312" s="3">
        <v>5.99</v>
      </c>
      <c r="K312" s="3"/>
      <c r="L312" s="3">
        <v>2</v>
      </c>
      <c r="M312" s="3">
        <v>2.75</v>
      </c>
      <c r="N312" s="3" t="s">
        <v>17</v>
      </c>
      <c r="O312" s="3"/>
      <c r="P312">
        <f t="shared" si="11"/>
        <v>1.1231243843767638</v>
      </c>
      <c r="Q312">
        <f t="shared" si="10"/>
        <v>6.6714630430340573</v>
      </c>
    </row>
    <row r="313" spans="1:17" ht="14" x14ac:dyDescent="0.15">
      <c r="A313" s="2">
        <v>45594</v>
      </c>
      <c r="B313" s="3">
        <v>29</v>
      </c>
      <c r="C313" s="3">
        <v>21</v>
      </c>
      <c r="D313" s="3" t="s">
        <v>16</v>
      </c>
      <c r="E313" s="3" t="s">
        <v>30</v>
      </c>
      <c r="F313" s="3">
        <v>2000</v>
      </c>
      <c r="G313" s="10">
        <v>2000</v>
      </c>
      <c r="H313" s="3">
        <v>3</v>
      </c>
      <c r="I313" s="3" t="s">
        <v>25</v>
      </c>
      <c r="J313" s="3">
        <v>5.89</v>
      </c>
      <c r="K313" s="3"/>
      <c r="L313" s="3">
        <v>2</v>
      </c>
      <c r="M313" s="3">
        <v>2.75</v>
      </c>
      <c r="N313" s="3" t="s">
        <v>17</v>
      </c>
      <c r="O313" s="3"/>
      <c r="P313">
        <f t="shared" si="11"/>
        <v>1.0988360154184387</v>
      </c>
      <c r="Q313">
        <f t="shared" si="10"/>
        <v>7.5188847031001487</v>
      </c>
    </row>
    <row r="314" spans="1:17" ht="14" x14ac:dyDescent="0.15">
      <c r="A314" s="2">
        <v>45594</v>
      </c>
      <c r="B314" s="3">
        <v>29</v>
      </c>
      <c r="C314" s="3">
        <v>21</v>
      </c>
      <c r="D314" s="3" t="s">
        <v>16</v>
      </c>
      <c r="E314" s="3" t="s">
        <v>30</v>
      </c>
      <c r="F314" s="3">
        <v>15000</v>
      </c>
      <c r="G314" s="12">
        <v>4000</v>
      </c>
      <c r="H314" s="3">
        <v>1</v>
      </c>
      <c r="I314" s="3" t="s">
        <v>25</v>
      </c>
      <c r="J314" s="3">
        <v>4.67</v>
      </c>
      <c r="K314" s="3"/>
      <c r="L314" s="3">
        <v>2</v>
      </c>
      <c r="M314" s="3">
        <v>2.75</v>
      </c>
      <c r="N314" s="3" t="s">
        <v>17</v>
      </c>
      <c r="O314" s="3"/>
      <c r="P314">
        <f t="shared" si="11"/>
        <v>0.76399093129763995</v>
      </c>
      <c r="Q314">
        <f t="shared" si="10"/>
        <v>2.8493189409052779</v>
      </c>
    </row>
    <row r="315" spans="1:17" ht="14" x14ac:dyDescent="0.15">
      <c r="A315" s="2">
        <v>45594</v>
      </c>
      <c r="B315" s="3">
        <v>29</v>
      </c>
      <c r="C315" s="3">
        <v>21</v>
      </c>
      <c r="D315" s="3" t="s">
        <v>16</v>
      </c>
      <c r="E315" s="3" t="s">
        <v>30</v>
      </c>
      <c r="F315" s="3">
        <v>15000</v>
      </c>
      <c r="G315" s="12">
        <v>4000</v>
      </c>
      <c r="H315" s="3">
        <v>2</v>
      </c>
      <c r="I315" s="3" t="s">
        <v>25</v>
      </c>
      <c r="J315" s="3">
        <v>5.72</v>
      </c>
      <c r="K315" s="3"/>
      <c r="L315" s="3">
        <v>2</v>
      </c>
      <c r="M315" s="3">
        <v>2.75</v>
      </c>
      <c r="N315" s="3" t="s">
        <v>17</v>
      </c>
      <c r="O315" s="3"/>
      <c r="P315">
        <f t="shared" si="11"/>
        <v>1.0565835283663676</v>
      </c>
      <c r="Q315">
        <f t="shared" si="10"/>
        <v>3.2151128507741245</v>
      </c>
    </row>
    <row r="316" spans="1:17" ht="14" x14ac:dyDescent="0.15">
      <c r="A316" s="2">
        <v>45594</v>
      </c>
      <c r="B316" s="3">
        <v>29</v>
      </c>
      <c r="C316" s="3">
        <v>21</v>
      </c>
      <c r="D316" s="3" t="s">
        <v>16</v>
      </c>
      <c r="E316" s="3" t="s">
        <v>30</v>
      </c>
      <c r="F316" s="3">
        <v>15000</v>
      </c>
      <c r="G316" s="12">
        <v>4000</v>
      </c>
      <c r="H316" s="3">
        <v>3</v>
      </c>
      <c r="I316" s="3" t="s">
        <v>25</v>
      </c>
      <c r="J316" s="3">
        <v>5.17</v>
      </c>
      <c r="K316" s="3"/>
      <c r="L316" s="3">
        <v>2</v>
      </c>
      <c r="M316" s="3">
        <v>2.75</v>
      </c>
      <c r="N316" s="3" t="s">
        <v>17</v>
      </c>
      <c r="O316" s="3"/>
      <c r="P316">
        <f t="shared" si="11"/>
        <v>0.91073266190291258</v>
      </c>
      <c r="Q316">
        <f t="shared" si="10"/>
        <v>2.9905343141316507</v>
      </c>
    </row>
    <row r="317" spans="1:17" ht="14" x14ac:dyDescent="0.15">
      <c r="A317" s="2">
        <v>45594</v>
      </c>
      <c r="B317" s="3">
        <v>29</v>
      </c>
      <c r="C317" s="3">
        <v>21</v>
      </c>
      <c r="D317" s="3" t="s">
        <v>16</v>
      </c>
      <c r="E317" s="3" t="s">
        <v>31</v>
      </c>
      <c r="F317" s="3">
        <v>4000</v>
      </c>
      <c r="G317" s="11">
        <v>4000</v>
      </c>
      <c r="H317" s="3">
        <v>1</v>
      </c>
      <c r="I317" s="3" t="s">
        <v>25</v>
      </c>
      <c r="J317" s="3">
        <v>4.26</v>
      </c>
      <c r="K317" s="3"/>
      <c r="L317" s="3">
        <v>2</v>
      </c>
      <c r="M317" s="3">
        <v>2.75</v>
      </c>
      <c r="N317" s="3" t="s">
        <v>17</v>
      </c>
      <c r="O317" s="3"/>
      <c r="P317">
        <f t="shared" si="11"/>
        <v>0.63142181181381629</v>
      </c>
      <c r="Q317">
        <f t="shared" si="10"/>
        <v>7.6011610289551221</v>
      </c>
    </row>
    <row r="318" spans="1:17" ht="14" x14ac:dyDescent="0.15">
      <c r="A318" s="2">
        <v>45594</v>
      </c>
      <c r="B318" s="3">
        <v>29</v>
      </c>
      <c r="C318" s="3">
        <v>21</v>
      </c>
      <c r="D318" s="3" t="s">
        <v>16</v>
      </c>
      <c r="E318" s="3" t="s">
        <v>31</v>
      </c>
      <c r="F318" s="3">
        <v>4000</v>
      </c>
      <c r="G318" s="11">
        <v>4000</v>
      </c>
      <c r="H318" s="3">
        <v>2</v>
      </c>
      <c r="I318" s="3" t="s">
        <v>25</v>
      </c>
      <c r="J318" s="3">
        <v>5.12</v>
      </c>
      <c r="K318" s="3"/>
      <c r="L318" s="3">
        <v>2</v>
      </c>
      <c r="M318" s="3">
        <v>2.75</v>
      </c>
      <c r="N318" s="3" t="s">
        <v>17</v>
      </c>
      <c r="O318" s="3"/>
      <c r="P318">
        <f t="shared" si="11"/>
        <v>0.89671219158797799</v>
      </c>
      <c r="Q318">
        <f t="shared" si="10"/>
        <v>8.0988366824129052</v>
      </c>
    </row>
    <row r="319" spans="1:17" ht="14" x14ac:dyDescent="0.15">
      <c r="A319" s="2">
        <v>45594</v>
      </c>
      <c r="B319" s="3">
        <v>29</v>
      </c>
      <c r="C319" s="3">
        <v>21</v>
      </c>
      <c r="D319" s="3" t="s">
        <v>16</v>
      </c>
      <c r="E319" s="3" t="s">
        <v>31</v>
      </c>
      <c r="F319" s="3">
        <v>4000</v>
      </c>
      <c r="G319" s="11">
        <v>4000</v>
      </c>
      <c r="H319" s="3">
        <v>3</v>
      </c>
      <c r="I319" s="3" t="s">
        <v>25</v>
      </c>
      <c r="J319" s="3">
        <v>4.4800000000000004</v>
      </c>
      <c r="K319" s="3"/>
      <c r="L319" s="3">
        <v>2</v>
      </c>
      <c r="M319" s="3">
        <v>2.75</v>
      </c>
      <c r="N319" s="3" t="s">
        <v>17</v>
      </c>
      <c r="O319" s="3"/>
      <c r="P319">
        <f t="shared" si="11"/>
        <v>0.70406711364558217</v>
      </c>
      <c r="Q319">
        <f t="shared" si="10"/>
        <v>7.0278757969153718</v>
      </c>
    </row>
    <row r="320" spans="1:17" ht="14" x14ac:dyDescent="0.15">
      <c r="A320" s="2">
        <v>45594</v>
      </c>
      <c r="B320" s="3">
        <v>29</v>
      </c>
      <c r="C320" s="3">
        <v>21</v>
      </c>
      <c r="D320" s="3" t="s">
        <v>16</v>
      </c>
      <c r="E320" s="3" t="s">
        <v>31</v>
      </c>
      <c r="F320" s="3">
        <v>8000</v>
      </c>
      <c r="G320" s="12">
        <v>0</v>
      </c>
      <c r="H320" s="3">
        <v>1</v>
      </c>
      <c r="I320" s="3" t="s">
        <v>25</v>
      </c>
      <c r="J320" s="3"/>
      <c r="K320" s="3"/>
      <c r="L320" s="3"/>
      <c r="M320" s="3"/>
      <c r="N320" s="3"/>
      <c r="O320" s="3" t="s">
        <v>39</v>
      </c>
      <c r="Q320">
        <f t="shared" si="10"/>
        <v>3.6628246268556599</v>
      </c>
    </row>
    <row r="321" spans="1:17" ht="14" x14ac:dyDescent="0.15">
      <c r="A321" s="2">
        <v>45594</v>
      </c>
      <c r="B321" s="3">
        <v>29</v>
      </c>
      <c r="C321" s="3">
        <v>21</v>
      </c>
      <c r="D321" s="3" t="s">
        <v>16</v>
      </c>
      <c r="E321" s="3" t="s">
        <v>31</v>
      </c>
      <c r="F321" s="3">
        <v>8000</v>
      </c>
      <c r="G321" s="12">
        <v>0</v>
      </c>
      <c r="H321" s="3">
        <v>2</v>
      </c>
      <c r="I321" s="3" t="s">
        <v>25</v>
      </c>
      <c r="J321" s="3"/>
      <c r="K321" s="3"/>
      <c r="L321" s="3"/>
      <c r="M321" s="3"/>
      <c r="N321" s="3"/>
      <c r="O321" s="3" t="s">
        <v>39</v>
      </c>
      <c r="Q321">
        <f t="shared" si="10"/>
        <v>-2.1997837199896493</v>
      </c>
    </row>
    <row r="322" spans="1:17" ht="14" x14ac:dyDescent="0.15">
      <c r="A322" s="2">
        <v>45594</v>
      </c>
      <c r="B322" s="3">
        <v>29</v>
      </c>
      <c r="C322" s="3">
        <v>21</v>
      </c>
      <c r="D322" s="3" t="s">
        <v>16</v>
      </c>
      <c r="E322" s="3" t="s">
        <v>31</v>
      </c>
      <c r="F322" s="3">
        <v>8000</v>
      </c>
      <c r="G322" s="12">
        <v>0</v>
      </c>
      <c r="H322" s="3">
        <v>3</v>
      </c>
      <c r="I322" s="3" t="s">
        <v>25</v>
      </c>
      <c r="J322" s="3"/>
      <c r="K322" s="3"/>
      <c r="L322" s="3"/>
      <c r="M322" s="3"/>
      <c r="N322" s="3"/>
      <c r="O322" s="3" t="s">
        <v>39</v>
      </c>
      <c r="Q322">
        <f t="shared" si="10"/>
        <v>0.63437281847104154</v>
      </c>
    </row>
    <row r="323" spans="1:17" ht="14" x14ac:dyDescent="0.15">
      <c r="A323" s="2">
        <v>45594</v>
      </c>
      <c r="B323" s="3">
        <v>29</v>
      </c>
      <c r="C323" s="3">
        <v>21</v>
      </c>
      <c r="D323" s="3" t="s">
        <v>16</v>
      </c>
      <c r="E323" s="3" t="s">
        <v>32</v>
      </c>
      <c r="F323" s="5">
        <v>0.01</v>
      </c>
      <c r="G323" s="13">
        <v>0.01</v>
      </c>
      <c r="H323" s="3">
        <v>1</v>
      </c>
      <c r="I323" s="3" t="s">
        <v>25</v>
      </c>
      <c r="J323" s="3">
        <v>7.86</v>
      </c>
      <c r="K323" s="3"/>
      <c r="L323" s="3">
        <v>2</v>
      </c>
      <c r="M323" s="3">
        <v>2.75</v>
      </c>
      <c r="N323" s="3" t="s">
        <v>17</v>
      </c>
      <c r="O323" s="3"/>
      <c r="P323">
        <f t="shared" si="11"/>
        <v>1.5150976938465848</v>
      </c>
      <c r="Q323">
        <f t="shared" si="10"/>
        <v>10.298300295420869</v>
      </c>
    </row>
    <row r="324" spans="1:17" ht="14" x14ac:dyDescent="0.15">
      <c r="A324" s="2">
        <v>45594</v>
      </c>
      <c r="B324" s="3">
        <v>29</v>
      </c>
      <c r="C324" s="3">
        <v>21</v>
      </c>
      <c r="D324" s="3" t="s">
        <v>16</v>
      </c>
      <c r="E324" s="3" t="s">
        <v>32</v>
      </c>
      <c r="F324" s="5">
        <v>0.01</v>
      </c>
      <c r="G324" s="13">
        <v>0.01</v>
      </c>
      <c r="H324" s="3">
        <v>2</v>
      </c>
      <c r="I324" s="3" t="s">
        <v>25</v>
      </c>
      <c r="J324" s="3">
        <v>7.16</v>
      </c>
      <c r="K324" s="3"/>
      <c r="L324" s="3">
        <v>2</v>
      </c>
      <c r="M324" s="3">
        <v>2.75</v>
      </c>
      <c r="N324" s="3" t="s">
        <v>17</v>
      </c>
      <c r="O324" s="3"/>
      <c r="P324">
        <f t="shared" si="11"/>
        <v>1.3805279688522345</v>
      </c>
      <c r="Q324">
        <f t="shared" si="10"/>
        <v>9.756532524218116</v>
      </c>
    </row>
    <row r="325" spans="1:17" ht="14" x14ac:dyDescent="0.15">
      <c r="A325" s="2">
        <v>45594</v>
      </c>
      <c r="B325" s="3">
        <v>29</v>
      </c>
      <c r="C325" s="3">
        <v>21</v>
      </c>
      <c r="D325" s="3" t="s">
        <v>16</v>
      </c>
      <c r="E325" s="3" t="s">
        <v>32</v>
      </c>
      <c r="F325" s="5">
        <v>0.01</v>
      </c>
      <c r="G325" s="13">
        <v>0.01</v>
      </c>
      <c r="H325" s="3">
        <v>3</v>
      </c>
      <c r="I325" s="3" t="s">
        <v>25</v>
      </c>
      <c r="J325" s="3">
        <v>8.67</v>
      </c>
      <c r="K325" s="3"/>
      <c r="L325" s="3">
        <v>2</v>
      </c>
      <c r="M325" s="3">
        <v>2.75</v>
      </c>
      <c r="N325" s="3" t="s">
        <v>17</v>
      </c>
      <c r="O325" s="3"/>
      <c r="P325">
        <f t="shared" si="11"/>
        <v>1.6566003748098133</v>
      </c>
      <c r="Q325">
        <f t="shared" si="10"/>
        <v>9.9826378037156829</v>
      </c>
    </row>
    <row r="326" spans="1:17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7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7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7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7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7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7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7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7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7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7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 ht="13" x14ac:dyDescent="0.15">
      <c r="O998" s="3"/>
    </row>
    <row r="999" spans="1:15" ht="13" x14ac:dyDescent="0.15">
      <c r="O999" s="3"/>
    </row>
    <row r="1000" spans="1:15" ht="13" x14ac:dyDescent="0.15">
      <c r="O1000" s="3"/>
    </row>
  </sheetData>
  <conditionalFormatting sqref="A1:O997">
    <cfRule type="cellIs" dxfId="119" priority="1" operator="equal">
      <formula>"N/A"</formula>
    </cfRule>
  </conditionalFormatting>
  <conditionalFormatting sqref="E1:E997">
    <cfRule type="cellIs" dxfId="118" priority="6" operator="equal">
      <formula>"KI-CDK9d-32"</formula>
    </cfRule>
    <cfRule type="cellIs" dxfId="117" priority="7" operator="equal">
      <formula>"KI-CDK9d-32N"</formula>
    </cfRule>
    <cfRule type="cellIs" dxfId="116" priority="8" operator="equal">
      <formula>"KB-0742"</formula>
    </cfRule>
    <cfRule type="cellIs" dxfId="115" priority="9" operator="equal">
      <formula>"SY-5609"</formula>
    </cfRule>
    <cfRule type="cellIs" dxfId="114" priority="10" operator="equal">
      <formula>"Senexin B"</formula>
    </cfRule>
    <cfRule type="cellIs" dxfId="113" priority="11" operator="equal">
      <formula>"SEL120"</formula>
    </cfRule>
    <cfRule type="cellIs" dxfId="112" priority="12" operator="equal">
      <formula>"DMSO"</formula>
    </cfRule>
    <cfRule type="cellIs" dxfId="111" priority="13" operator="equal">
      <formula>"NONE"</formula>
    </cfRule>
  </conditionalFormatting>
  <conditionalFormatting sqref="F14:G997">
    <cfRule type="colorScale" priority="14">
      <colorScale>
        <cfvo type="min"/>
        <cfvo type="percentile" val="50"/>
        <cfvo type="max"/>
        <color rgb="FF0000FF"/>
        <color rgb="FFFFFFFF"/>
        <color rgb="FFFF0000"/>
      </colorScale>
    </cfRule>
  </conditionalFormatting>
  <conditionalFormatting sqref="H1:H997">
    <cfRule type="cellIs" dxfId="110" priority="2" operator="equal">
      <formula>1</formula>
    </cfRule>
    <cfRule type="cellIs" dxfId="109" priority="3" operator="equal">
      <formula>2</formula>
    </cfRule>
    <cfRule type="cellIs" dxfId="108" priority="4" operator="equal">
      <formula>3</formula>
    </cfRule>
  </conditionalFormatting>
  <printOptions horizontalCentered="1" gridLines="1"/>
  <pageMargins left="0.7" right="0.7" top="0.75" bottom="0.75" header="0" footer="0"/>
  <pageSetup scale="42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7"/>
  <sheetViews>
    <sheetView topLeftCell="A144" workbookViewId="0">
      <selection activeCell="T307" sqref="T307"/>
    </sheetView>
  </sheetViews>
  <sheetFormatPr baseColWidth="10" defaultColWidth="12.6640625" defaultRowHeight="15.75" customHeight="1" x14ac:dyDescent="0.15"/>
  <cols>
    <col min="1" max="1" width="10.6640625" customWidth="1"/>
    <col min="2" max="2" width="15.5" customWidth="1"/>
    <col min="3" max="3" width="14.1640625" customWidth="1"/>
    <col min="4" max="4" width="17.1640625" customWidth="1"/>
    <col min="5" max="5" width="16.6640625" customWidth="1"/>
    <col min="6" max="7" width="12.33203125" customWidth="1"/>
    <col min="8" max="8" width="7.83203125" customWidth="1"/>
    <col min="9" max="9" width="14.83203125" customWidth="1"/>
    <col min="10" max="14" width="10.6640625" customWidth="1"/>
    <col min="15" max="15" width="35.6640625" customWidth="1"/>
    <col min="18" max="29" width="10.6640625" customWidth="1"/>
  </cols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15">
      <c r="A2" s="2">
        <v>45572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40</v>
      </c>
      <c r="J2" s="3">
        <v>80</v>
      </c>
      <c r="K2" s="3" t="s">
        <v>17</v>
      </c>
      <c r="L2" s="3" t="s">
        <v>17</v>
      </c>
      <c r="M2" s="3" t="s">
        <v>17</v>
      </c>
      <c r="N2" s="4">
        <v>0.33800000000000002</v>
      </c>
      <c r="O2" s="3" t="s">
        <v>41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15">
      <c r="A3" s="2">
        <v>45572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40</v>
      </c>
      <c r="J3" s="3">
        <v>80</v>
      </c>
      <c r="K3" s="3" t="s">
        <v>17</v>
      </c>
      <c r="L3" s="3" t="s">
        <v>17</v>
      </c>
      <c r="M3" s="3" t="s">
        <v>17</v>
      </c>
      <c r="N3" s="4">
        <v>0.33500000000000002</v>
      </c>
      <c r="O3" s="3" t="s">
        <v>41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15">
      <c r="A4" s="2">
        <v>45572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40</v>
      </c>
      <c r="J4" s="3">
        <v>80</v>
      </c>
      <c r="K4" s="3" t="s">
        <v>17</v>
      </c>
      <c r="L4" s="3" t="s">
        <v>17</v>
      </c>
      <c r="M4" s="3" t="s">
        <v>17</v>
      </c>
      <c r="N4" s="4">
        <v>0.33600000000000002</v>
      </c>
      <c r="O4" s="3" t="s">
        <v>41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 x14ac:dyDescent="0.15">
      <c r="A5" s="2">
        <v>45573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20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 x14ac:dyDescent="0.15">
      <c r="A6" s="2">
        <v>45573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20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15">
      <c r="A7" s="2">
        <v>45573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20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 x14ac:dyDescent="0.15">
      <c r="A8" s="2">
        <v>45579</v>
      </c>
      <c r="B8" s="3">
        <v>7</v>
      </c>
      <c r="C8" s="3"/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3" t="s">
        <v>22</v>
      </c>
      <c r="J8" s="3">
        <v>135</v>
      </c>
      <c r="K8" s="3">
        <v>36</v>
      </c>
      <c r="L8" s="3">
        <v>4</v>
      </c>
      <c r="M8" s="3">
        <v>3</v>
      </c>
      <c r="N8" s="3" t="s">
        <v>42</v>
      </c>
      <c r="O8" s="3" t="s">
        <v>23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 x14ac:dyDescent="0.15">
      <c r="A9" s="2">
        <v>45579</v>
      </c>
      <c r="B9" s="3">
        <v>7</v>
      </c>
      <c r="C9" s="3"/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3" t="s">
        <v>22</v>
      </c>
      <c r="J9" s="3">
        <v>153</v>
      </c>
      <c r="K9" s="3">
        <v>36</v>
      </c>
      <c r="L9" s="3">
        <v>4</v>
      </c>
      <c r="M9" s="3">
        <v>3</v>
      </c>
      <c r="N9" s="3" t="s">
        <v>42</v>
      </c>
      <c r="O9" s="3" t="s">
        <v>23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x14ac:dyDescent="0.15">
      <c r="A10" s="2">
        <v>45579</v>
      </c>
      <c r="B10" s="3">
        <v>7</v>
      </c>
      <c r="C10" s="3"/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3" t="s">
        <v>22</v>
      </c>
      <c r="J10" s="3">
        <v>151.5</v>
      </c>
      <c r="K10" s="3">
        <v>36</v>
      </c>
      <c r="L10" s="3">
        <v>4</v>
      </c>
      <c r="M10" s="3">
        <v>3</v>
      </c>
      <c r="N10" s="3" t="s">
        <v>42</v>
      </c>
      <c r="O10" s="3" t="s">
        <v>23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 x14ac:dyDescent="0.15">
      <c r="A11" s="2">
        <v>45580</v>
      </c>
      <c r="B11" s="3">
        <v>8</v>
      </c>
      <c r="C11" s="3">
        <v>0</v>
      </c>
      <c r="D11" s="3" t="s">
        <v>16</v>
      </c>
      <c r="E11" s="3" t="s">
        <v>24</v>
      </c>
      <c r="F11" s="3">
        <v>100</v>
      </c>
      <c r="G11" s="3">
        <v>100</v>
      </c>
      <c r="H11" s="3">
        <v>1</v>
      </c>
      <c r="I11" s="3" t="s">
        <v>25</v>
      </c>
      <c r="J11" s="3">
        <v>2.75</v>
      </c>
      <c r="K11" s="3" t="s">
        <v>17</v>
      </c>
      <c r="L11" s="3" t="s">
        <v>17</v>
      </c>
      <c r="M11" s="3" t="s">
        <v>17</v>
      </c>
      <c r="N11" s="3" t="s">
        <v>17</v>
      </c>
      <c r="O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 x14ac:dyDescent="0.15">
      <c r="A12" s="2">
        <v>45580</v>
      </c>
      <c r="B12" s="3">
        <v>8</v>
      </c>
      <c r="C12" s="3">
        <v>0</v>
      </c>
      <c r="D12" s="3" t="s">
        <v>16</v>
      </c>
      <c r="E12" s="3" t="s">
        <v>24</v>
      </c>
      <c r="F12" s="3">
        <v>100</v>
      </c>
      <c r="G12" s="3">
        <v>100</v>
      </c>
      <c r="H12" s="3">
        <v>2</v>
      </c>
      <c r="I12" s="3" t="s">
        <v>25</v>
      </c>
      <c r="J12" s="3">
        <v>2.75</v>
      </c>
      <c r="K12" s="3" t="s">
        <v>17</v>
      </c>
      <c r="L12" s="3" t="s">
        <v>17</v>
      </c>
      <c r="M12" s="3" t="s">
        <v>17</v>
      </c>
      <c r="N12" s="3" t="s">
        <v>17</v>
      </c>
      <c r="O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 x14ac:dyDescent="0.15">
      <c r="A13" s="2">
        <v>45580</v>
      </c>
      <c r="B13" s="3">
        <v>8</v>
      </c>
      <c r="C13" s="3">
        <v>0</v>
      </c>
      <c r="D13" s="3" t="s">
        <v>16</v>
      </c>
      <c r="E13" s="3" t="s">
        <v>24</v>
      </c>
      <c r="F13" s="3">
        <v>100</v>
      </c>
      <c r="G13" s="3">
        <v>100</v>
      </c>
      <c r="H13" s="3">
        <v>3</v>
      </c>
      <c r="I13" s="3" t="s">
        <v>25</v>
      </c>
      <c r="J13" s="3">
        <v>2.75</v>
      </c>
      <c r="K13" s="3" t="s">
        <v>17</v>
      </c>
      <c r="L13" s="3" t="s">
        <v>17</v>
      </c>
      <c r="M13" s="3" t="s">
        <v>17</v>
      </c>
      <c r="N13" s="3" t="s">
        <v>17</v>
      </c>
      <c r="O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15">
      <c r="A14" s="2">
        <v>45580</v>
      </c>
      <c r="B14" s="3">
        <v>8</v>
      </c>
      <c r="C14" s="3">
        <v>0</v>
      </c>
      <c r="D14" s="3" t="s">
        <v>16</v>
      </c>
      <c r="E14" s="3" t="s">
        <v>24</v>
      </c>
      <c r="F14" s="3">
        <v>1000</v>
      </c>
      <c r="G14" s="3">
        <v>1000</v>
      </c>
      <c r="H14" s="3">
        <v>1</v>
      </c>
      <c r="I14" s="3" t="s">
        <v>25</v>
      </c>
      <c r="J14" s="3">
        <v>2.75</v>
      </c>
      <c r="K14" s="3" t="s">
        <v>17</v>
      </c>
      <c r="L14" s="3" t="s">
        <v>17</v>
      </c>
      <c r="M14" s="3" t="s">
        <v>17</v>
      </c>
      <c r="N14" s="3" t="s">
        <v>17</v>
      </c>
      <c r="O14" s="3"/>
      <c r="P14">
        <v>0</v>
      </c>
      <c r="Q14">
        <v>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 x14ac:dyDescent="0.15">
      <c r="A15" s="2">
        <v>45580</v>
      </c>
      <c r="B15" s="3">
        <v>8</v>
      </c>
      <c r="C15" s="3">
        <v>0</v>
      </c>
      <c r="D15" s="3" t="s">
        <v>16</v>
      </c>
      <c r="E15" s="3" t="s">
        <v>24</v>
      </c>
      <c r="F15" s="3">
        <v>1000</v>
      </c>
      <c r="G15" s="3">
        <v>1000</v>
      </c>
      <c r="H15" s="3">
        <v>2</v>
      </c>
      <c r="I15" s="3" t="s">
        <v>25</v>
      </c>
      <c r="J15" s="3">
        <v>2.75</v>
      </c>
      <c r="K15" s="3" t="s">
        <v>17</v>
      </c>
      <c r="L15" s="3" t="s">
        <v>17</v>
      </c>
      <c r="M15" s="3" t="s">
        <v>17</v>
      </c>
      <c r="N15" s="3" t="s">
        <v>17</v>
      </c>
      <c r="O15" s="3"/>
      <c r="P15">
        <v>0</v>
      </c>
      <c r="Q15">
        <v>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15">
      <c r="A16" s="2">
        <v>45580</v>
      </c>
      <c r="B16" s="3">
        <v>8</v>
      </c>
      <c r="C16" s="3">
        <v>0</v>
      </c>
      <c r="D16" s="3" t="s">
        <v>16</v>
      </c>
      <c r="E16" s="3" t="s">
        <v>24</v>
      </c>
      <c r="F16" s="3">
        <v>1000</v>
      </c>
      <c r="G16" s="3">
        <v>1000</v>
      </c>
      <c r="H16" s="3">
        <v>3</v>
      </c>
      <c r="I16" s="3" t="s">
        <v>25</v>
      </c>
      <c r="J16" s="3">
        <v>2.75</v>
      </c>
      <c r="K16" s="3" t="s">
        <v>17</v>
      </c>
      <c r="L16" s="3" t="s">
        <v>17</v>
      </c>
      <c r="M16" s="3" t="s">
        <v>17</v>
      </c>
      <c r="N16" s="3" t="s">
        <v>17</v>
      </c>
      <c r="O16" s="3"/>
      <c r="P16">
        <v>0</v>
      </c>
      <c r="Q16">
        <v>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 x14ac:dyDescent="0.15">
      <c r="A17" s="2">
        <v>45580</v>
      </c>
      <c r="B17" s="3">
        <v>8</v>
      </c>
      <c r="C17" s="3">
        <v>0</v>
      </c>
      <c r="D17" s="3" t="s">
        <v>16</v>
      </c>
      <c r="E17" s="3" t="s">
        <v>27</v>
      </c>
      <c r="F17" s="3">
        <v>1250</v>
      </c>
      <c r="G17" s="3">
        <v>1250</v>
      </c>
      <c r="H17" s="3">
        <v>1</v>
      </c>
      <c r="I17" s="3" t="s">
        <v>25</v>
      </c>
      <c r="J17" s="3">
        <v>2.75</v>
      </c>
      <c r="K17" s="3" t="s">
        <v>17</v>
      </c>
      <c r="L17" s="3" t="s">
        <v>17</v>
      </c>
      <c r="M17" s="3" t="s">
        <v>17</v>
      </c>
      <c r="N17" s="3" t="s">
        <v>17</v>
      </c>
      <c r="O17" s="3"/>
      <c r="P17">
        <v>0</v>
      </c>
      <c r="Q17">
        <v>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15">
      <c r="A18" s="2">
        <v>45580</v>
      </c>
      <c r="B18" s="3">
        <v>8</v>
      </c>
      <c r="C18" s="3">
        <v>0</v>
      </c>
      <c r="D18" s="3" t="s">
        <v>16</v>
      </c>
      <c r="E18" s="3" t="s">
        <v>27</v>
      </c>
      <c r="F18" s="3">
        <v>1250</v>
      </c>
      <c r="G18" s="3">
        <v>1250</v>
      </c>
      <c r="H18" s="3">
        <v>2</v>
      </c>
      <c r="I18" s="3" t="s">
        <v>25</v>
      </c>
      <c r="J18" s="3">
        <v>2.75</v>
      </c>
      <c r="K18" s="3" t="s">
        <v>17</v>
      </c>
      <c r="L18" s="3" t="s">
        <v>17</v>
      </c>
      <c r="M18" s="3" t="s">
        <v>17</v>
      </c>
      <c r="N18" s="3" t="s">
        <v>17</v>
      </c>
      <c r="O18" s="3"/>
      <c r="P18">
        <v>0</v>
      </c>
      <c r="Q18"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15">
      <c r="A19" s="2">
        <v>45580</v>
      </c>
      <c r="B19" s="3">
        <v>8</v>
      </c>
      <c r="C19" s="3">
        <v>0</v>
      </c>
      <c r="D19" s="3" t="s">
        <v>16</v>
      </c>
      <c r="E19" s="3" t="s">
        <v>27</v>
      </c>
      <c r="F19" s="3">
        <v>1250</v>
      </c>
      <c r="G19" s="3">
        <v>1250</v>
      </c>
      <c r="H19" s="3">
        <v>3</v>
      </c>
      <c r="I19" s="3" t="s">
        <v>25</v>
      </c>
      <c r="J19" s="3">
        <v>2.75</v>
      </c>
      <c r="K19" s="3" t="s">
        <v>17</v>
      </c>
      <c r="L19" s="3" t="s">
        <v>17</v>
      </c>
      <c r="M19" s="3" t="s">
        <v>17</v>
      </c>
      <c r="N19" s="3" t="s">
        <v>17</v>
      </c>
      <c r="O19" s="3"/>
      <c r="P19">
        <v>0</v>
      </c>
      <c r="Q19">
        <v>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15">
      <c r="A20" s="2">
        <v>45580</v>
      </c>
      <c r="B20" s="3">
        <v>8</v>
      </c>
      <c r="C20" s="3">
        <v>0</v>
      </c>
      <c r="D20" s="3" t="s">
        <v>16</v>
      </c>
      <c r="E20" s="3" t="s">
        <v>27</v>
      </c>
      <c r="F20" s="3">
        <v>5000</v>
      </c>
      <c r="G20" s="3">
        <v>5000</v>
      </c>
      <c r="H20" s="3">
        <v>1</v>
      </c>
      <c r="I20" s="3" t="s">
        <v>25</v>
      </c>
      <c r="J20" s="3">
        <v>2.75</v>
      </c>
      <c r="K20" s="3" t="s">
        <v>17</v>
      </c>
      <c r="L20" s="3" t="s">
        <v>17</v>
      </c>
      <c r="M20" s="3" t="s">
        <v>17</v>
      </c>
      <c r="N20" s="3" t="s">
        <v>17</v>
      </c>
      <c r="O20" s="3"/>
      <c r="P20">
        <v>0</v>
      </c>
      <c r="Q20"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15">
      <c r="A21" s="2">
        <v>45580</v>
      </c>
      <c r="B21" s="3">
        <v>8</v>
      </c>
      <c r="C21" s="3">
        <v>0</v>
      </c>
      <c r="D21" s="3" t="s">
        <v>16</v>
      </c>
      <c r="E21" s="3" t="s">
        <v>27</v>
      </c>
      <c r="F21" s="3">
        <v>5000</v>
      </c>
      <c r="G21" s="3">
        <v>5000</v>
      </c>
      <c r="H21" s="3">
        <v>2</v>
      </c>
      <c r="I21" s="3" t="s">
        <v>25</v>
      </c>
      <c r="J21" s="3">
        <v>2.75</v>
      </c>
      <c r="K21" s="3" t="s">
        <v>17</v>
      </c>
      <c r="L21" s="3" t="s">
        <v>17</v>
      </c>
      <c r="M21" s="3" t="s">
        <v>17</v>
      </c>
      <c r="N21" s="3" t="s">
        <v>17</v>
      </c>
      <c r="O21" s="3"/>
      <c r="P21">
        <v>0</v>
      </c>
      <c r="Q21"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15">
      <c r="A22" s="2">
        <v>45580</v>
      </c>
      <c r="B22" s="3">
        <v>8</v>
      </c>
      <c r="C22" s="3">
        <v>0</v>
      </c>
      <c r="D22" s="3" t="s">
        <v>16</v>
      </c>
      <c r="E22" s="3" t="s">
        <v>27</v>
      </c>
      <c r="F22" s="3">
        <v>5000</v>
      </c>
      <c r="G22" s="3">
        <v>5000</v>
      </c>
      <c r="H22" s="3">
        <v>3</v>
      </c>
      <c r="I22" s="3" t="s">
        <v>25</v>
      </c>
      <c r="J22" s="3">
        <v>2.75</v>
      </c>
      <c r="K22" s="3" t="s">
        <v>17</v>
      </c>
      <c r="L22" s="3" t="s">
        <v>17</v>
      </c>
      <c r="M22" s="3" t="s">
        <v>17</v>
      </c>
      <c r="N22" s="3" t="s">
        <v>17</v>
      </c>
      <c r="O22" s="3"/>
      <c r="P22">
        <v>0</v>
      </c>
      <c r="Q22"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15">
      <c r="A23" s="2">
        <v>45580</v>
      </c>
      <c r="B23" s="3">
        <v>8</v>
      </c>
      <c r="C23" s="3">
        <v>0</v>
      </c>
      <c r="D23" s="3" t="s">
        <v>16</v>
      </c>
      <c r="E23" s="3" t="s">
        <v>28</v>
      </c>
      <c r="F23" s="3">
        <v>1500</v>
      </c>
      <c r="G23" s="3">
        <v>1500</v>
      </c>
      <c r="H23" s="3">
        <v>1</v>
      </c>
      <c r="I23" s="3" t="s">
        <v>25</v>
      </c>
      <c r="J23" s="3">
        <v>2.75</v>
      </c>
      <c r="K23" s="3" t="s">
        <v>17</v>
      </c>
      <c r="L23" s="3" t="s">
        <v>17</v>
      </c>
      <c r="M23" s="3" t="s">
        <v>17</v>
      </c>
      <c r="N23" s="3" t="s">
        <v>17</v>
      </c>
      <c r="O23" s="3"/>
      <c r="P23">
        <v>0</v>
      </c>
      <c r="Q23"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15">
      <c r="A24" s="2">
        <v>45580</v>
      </c>
      <c r="B24" s="3">
        <v>8</v>
      </c>
      <c r="C24" s="3">
        <v>0</v>
      </c>
      <c r="D24" s="3" t="s">
        <v>16</v>
      </c>
      <c r="E24" s="3" t="s">
        <v>28</v>
      </c>
      <c r="F24" s="3">
        <v>1500</v>
      </c>
      <c r="G24" s="3">
        <v>1500</v>
      </c>
      <c r="H24" s="3">
        <v>2</v>
      </c>
      <c r="I24" s="3" t="s">
        <v>25</v>
      </c>
      <c r="J24" s="3">
        <v>2.75</v>
      </c>
      <c r="K24" s="3" t="s">
        <v>17</v>
      </c>
      <c r="L24" s="3" t="s">
        <v>17</v>
      </c>
      <c r="M24" s="3" t="s">
        <v>17</v>
      </c>
      <c r="N24" s="3" t="s">
        <v>17</v>
      </c>
      <c r="O24" s="3"/>
      <c r="P24">
        <v>0</v>
      </c>
      <c r="Q24"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15">
      <c r="A25" s="2">
        <v>45580</v>
      </c>
      <c r="B25" s="3">
        <v>8</v>
      </c>
      <c r="C25" s="3">
        <v>0</v>
      </c>
      <c r="D25" s="3" t="s">
        <v>16</v>
      </c>
      <c r="E25" s="3" t="s">
        <v>28</v>
      </c>
      <c r="F25" s="3">
        <v>1500</v>
      </c>
      <c r="G25" s="3">
        <v>1500</v>
      </c>
      <c r="H25" s="3">
        <v>3</v>
      </c>
      <c r="I25" s="3" t="s">
        <v>25</v>
      </c>
      <c r="J25" s="3">
        <v>2.75</v>
      </c>
      <c r="K25" s="3" t="s">
        <v>17</v>
      </c>
      <c r="L25" s="3" t="s">
        <v>17</v>
      </c>
      <c r="M25" s="3" t="s">
        <v>17</v>
      </c>
      <c r="N25" s="3" t="s">
        <v>17</v>
      </c>
      <c r="O25" s="3"/>
      <c r="P25">
        <v>0</v>
      </c>
      <c r="Q25"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15">
      <c r="A26" s="2">
        <v>45580</v>
      </c>
      <c r="B26" s="3">
        <v>8</v>
      </c>
      <c r="C26" s="3">
        <v>0</v>
      </c>
      <c r="D26" s="3" t="s">
        <v>16</v>
      </c>
      <c r="E26" s="3" t="s">
        <v>28</v>
      </c>
      <c r="F26" s="3">
        <v>5000</v>
      </c>
      <c r="G26" s="3">
        <v>5000</v>
      </c>
      <c r="H26" s="3">
        <v>1</v>
      </c>
      <c r="I26" s="3" t="s">
        <v>25</v>
      </c>
      <c r="J26" s="3">
        <v>2.75</v>
      </c>
      <c r="K26" s="3" t="s">
        <v>17</v>
      </c>
      <c r="L26" s="3" t="s">
        <v>17</v>
      </c>
      <c r="M26" s="3" t="s">
        <v>17</v>
      </c>
      <c r="N26" s="3" t="s">
        <v>17</v>
      </c>
      <c r="O26" s="3"/>
      <c r="P26">
        <v>0</v>
      </c>
      <c r="Q26"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15">
      <c r="A27" s="2">
        <v>45580</v>
      </c>
      <c r="B27" s="3">
        <v>8</v>
      </c>
      <c r="C27" s="3">
        <v>0</v>
      </c>
      <c r="D27" s="3" t="s">
        <v>16</v>
      </c>
      <c r="E27" s="3" t="s">
        <v>28</v>
      </c>
      <c r="F27" s="3">
        <v>5000</v>
      </c>
      <c r="G27" s="3">
        <v>5000</v>
      </c>
      <c r="H27" s="3">
        <v>2</v>
      </c>
      <c r="I27" s="3" t="s">
        <v>25</v>
      </c>
      <c r="J27" s="3">
        <v>2.75</v>
      </c>
      <c r="K27" s="3" t="s">
        <v>17</v>
      </c>
      <c r="L27" s="3" t="s">
        <v>17</v>
      </c>
      <c r="M27" s="3" t="s">
        <v>17</v>
      </c>
      <c r="N27" s="3" t="s">
        <v>17</v>
      </c>
      <c r="O27" s="3"/>
      <c r="P27">
        <v>0</v>
      </c>
      <c r="Q27"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15">
      <c r="A28" s="2">
        <v>45580</v>
      </c>
      <c r="B28" s="3">
        <v>8</v>
      </c>
      <c r="C28" s="3">
        <v>0</v>
      </c>
      <c r="D28" s="3" t="s">
        <v>16</v>
      </c>
      <c r="E28" s="3" t="s">
        <v>28</v>
      </c>
      <c r="F28" s="3">
        <v>5000</v>
      </c>
      <c r="G28" s="3">
        <v>5000</v>
      </c>
      <c r="H28" s="3">
        <v>3</v>
      </c>
      <c r="I28" s="3" t="s">
        <v>25</v>
      </c>
      <c r="J28" s="3">
        <v>2.75</v>
      </c>
      <c r="K28" s="3" t="s">
        <v>17</v>
      </c>
      <c r="L28" s="3" t="s">
        <v>17</v>
      </c>
      <c r="M28" s="3" t="s">
        <v>17</v>
      </c>
      <c r="N28" s="3" t="s">
        <v>17</v>
      </c>
      <c r="O28" s="3"/>
      <c r="P28">
        <v>0</v>
      </c>
      <c r="Q28"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15">
      <c r="A29" s="2">
        <v>45580</v>
      </c>
      <c r="B29" s="3">
        <v>8</v>
      </c>
      <c r="C29" s="3">
        <v>0</v>
      </c>
      <c r="D29" s="3" t="s">
        <v>16</v>
      </c>
      <c r="E29" s="3" t="s">
        <v>29</v>
      </c>
      <c r="F29" s="3">
        <v>1000</v>
      </c>
      <c r="G29" s="3">
        <v>1000</v>
      </c>
      <c r="H29" s="3">
        <v>1</v>
      </c>
      <c r="I29" s="3" t="s">
        <v>25</v>
      </c>
      <c r="J29" s="3">
        <v>2.75</v>
      </c>
      <c r="K29" s="3" t="s">
        <v>17</v>
      </c>
      <c r="L29" s="3" t="s">
        <v>17</v>
      </c>
      <c r="M29" s="3" t="s">
        <v>17</v>
      </c>
      <c r="N29" s="3" t="s">
        <v>17</v>
      </c>
      <c r="O29" s="3"/>
      <c r="P29">
        <v>0</v>
      </c>
      <c r="Q29"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15">
      <c r="A30" s="2">
        <v>45580</v>
      </c>
      <c r="B30" s="3">
        <v>8</v>
      </c>
      <c r="C30" s="3">
        <v>0</v>
      </c>
      <c r="D30" s="3" t="s">
        <v>16</v>
      </c>
      <c r="E30" s="3" t="s">
        <v>29</v>
      </c>
      <c r="F30" s="3">
        <v>1000</v>
      </c>
      <c r="G30" s="3">
        <v>1000</v>
      </c>
      <c r="H30" s="3">
        <v>2</v>
      </c>
      <c r="I30" s="3" t="s">
        <v>25</v>
      </c>
      <c r="J30" s="3">
        <v>2.75</v>
      </c>
      <c r="K30" s="3" t="s">
        <v>17</v>
      </c>
      <c r="L30" s="3" t="s">
        <v>17</v>
      </c>
      <c r="M30" s="3" t="s">
        <v>17</v>
      </c>
      <c r="N30" s="3" t="s">
        <v>17</v>
      </c>
      <c r="O30" s="3"/>
      <c r="P30">
        <v>0</v>
      </c>
      <c r="Q30"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15">
      <c r="A31" s="2">
        <v>45580</v>
      </c>
      <c r="B31" s="3">
        <v>8</v>
      </c>
      <c r="C31" s="3">
        <v>0</v>
      </c>
      <c r="D31" s="3" t="s">
        <v>16</v>
      </c>
      <c r="E31" s="3" t="s">
        <v>29</v>
      </c>
      <c r="F31" s="3">
        <v>1000</v>
      </c>
      <c r="G31" s="3">
        <v>1000</v>
      </c>
      <c r="H31" s="3">
        <v>3</v>
      </c>
      <c r="I31" s="3" t="s">
        <v>25</v>
      </c>
      <c r="J31" s="3">
        <v>2.75</v>
      </c>
      <c r="K31" s="3" t="s">
        <v>17</v>
      </c>
      <c r="L31" s="3" t="s">
        <v>17</v>
      </c>
      <c r="M31" s="3" t="s">
        <v>17</v>
      </c>
      <c r="N31" s="3" t="s">
        <v>17</v>
      </c>
      <c r="O31" s="3"/>
      <c r="P31">
        <v>0</v>
      </c>
      <c r="Q31"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15">
      <c r="A32" s="2">
        <v>45580</v>
      </c>
      <c r="B32" s="3">
        <v>8</v>
      </c>
      <c r="C32" s="3">
        <v>0</v>
      </c>
      <c r="D32" s="3" t="s">
        <v>16</v>
      </c>
      <c r="E32" s="3" t="s">
        <v>29</v>
      </c>
      <c r="F32" s="3">
        <v>2500</v>
      </c>
      <c r="G32" s="3">
        <v>2500</v>
      </c>
      <c r="H32" s="3">
        <v>1</v>
      </c>
      <c r="I32" s="3" t="s">
        <v>25</v>
      </c>
      <c r="J32" s="3">
        <v>2.75</v>
      </c>
      <c r="K32" s="3" t="s">
        <v>17</v>
      </c>
      <c r="L32" s="3" t="s">
        <v>17</v>
      </c>
      <c r="M32" s="3" t="s">
        <v>17</v>
      </c>
      <c r="N32" s="3" t="s">
        <v>17</v>
      </c>
      <c r="O32" s="3"/>
      <c r="P32">
        <v>0</v>
      </c>
      <c r="Q32"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15">
      <c r="A33" s="2">
        <v>45580</v>
      </c>
      <c r="B33" s="3">
        <v>8</v>
      </c>
      <c r="C33" s="3">
        <v>0</v>
      </c>
      <c r="D33" s="3" t="s">
        <v>16</v>
      </c>
      <c r="E33" s="3" t="s">
        <v>29</v>
      </c>
      <c r="F33" s="3">
        <v>2500</v>
      </c>
      <c r="G33" s="3">
        <v>2500</v>
      </c>
      <c r="H33" s="3">
        <v>2</v>
      </c>
      <c r="I33" s="3" t="s">
        <v>25</v>
      </c>
      <c r="J33" s="3">
        <v>2.75</v>
      </c>
      <c r="K33" s="3" t="s">
        <v>17</v>
      </c>
      <c r="L33" s="3" t="s">
        <v>17</v>
      </c>
      <c r="M33" s="3" t="s">
        <v>17</v>
      </c>
      <c r="N33" s="3" t="s">
        <v>17</v>
      </c>
      <c r="O33" s="3"/>
      <c r="P33">
        <v>0</v>
      </c>
      <c r="Q33"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15">
      <c r="A34" s="2">
        <v>45580</v>
      </c>
      <c r="B34" s="3">
        <v>8</v>
      </c>
      <c r="C34" s="3">
        <v>0</v>
      </c>
      <c r="D34" s="3" t="s">
        <v>16</v>
      </c>
      <c r="E34" s="3" t="s">
        <v>29</v>
      </c>
      <c r="F34" s="3">
        <v>2500</v>
      </c>
      <c r="G34" s="3">
        <v>2500</v>
      </c>
      <c r="H34" s="3">
        <v>3</v>
      </c>
      <c r="I34" s="3" t="s">
        <v>25</v>
      </c>
      <c r="J34" s="3">
        <v>2.75</v>
      </c>
      <c r="K34" s="3" t="s">
        <v>17</v>
      </c>
      <c r="L34" s="3" t="s">
        <v>17</v>
      </c>
      <c r="M34" s="3" t="s">
        <v>17</v>
      </c>
      <c r="N34" s="3" t="s">
        <v>17</v>
      </c>
      <c r="O34" s="3"/>
      <c r="P34">
        <v>0</v>
      </c>
      <c r="Q34"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15">
      <c r="A35" s="2">
        <v>45580</v>
      </c>
      <c r="B35" s="3">
        <v>8</v>
      </c>
      <c r="C35" s="3">
        <v>0</v>
      </c>
      <c r="D35" s="3" t="s">
        <v>16</v>
      </c>
      <c r="E35" s="3" t="s">
        <v>30</v>
      </c>
      <c r="F35" s="3">
        <v>2000</v>
      </c>
      <c r="G35" s="3">
        <v>2000</v>
      </c>
      <c r="H35" s="3">
        <v>1</v>
      </c>
      <c r="I35" s="3" t="s">
        <v>25</v>
      </c>
      <c r="J35" s="3">
        <v>2.75</v>
      </c>
      <c r="K35" s="3" t="s">
        <v>17</v>
      </c>
      <c r="L35" s="3" t="s">
        <v>17</v>
      </c>
      <c r="M35" s="3" t="s">
        <v>17</v>
      </c>
      <c r="N35" s="3" t="s">
        <v>17</v>
      </c>
      <c r="O35" s="3"/>
      <c r="P35">
        <v>0</v>
      </c>
      <c r="Q35"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15">
      <c r="A36" s="2">
        <v>45580</v>
      </c>
      <c r="B36" s="3">
        <v>8</v>
      </c>
      <c r="C36" s="3">
        <v>0</v>
      </c>
      <c r="D36" s="3" t="s">
        <v>16</v>
      </c>
      <c r="E36" s="3" t="s">
        <v>30</v>
      </c>
      <c r="F36" s="3">
        <v>2000</v>
      </c>
      <c r="G36" s="3">
        <v>2000</v>
      </c>
      <c r="H36" s="3">
        <v>2</v>
      </c>
      <c r="I36" s="3" t="s">
        <v>25</v>
      </c>
      <c r="J36" s="3">
        <v>2.75</v>
      </c>
      <c r="K36" s="3" t="s">
        <v>17</v>
      </c>
      <c r="L36" s="3" t="s">
        <v>17</v>
      </c>
      <c r="M36" s="3" t="s">
        <v>17</v>
      </c>
      <c r="N36" s="3" t="s">
        <v>17</v>
      </c>
      <c r="O36" s="3"/>
      <c r="P36">
        <v>0</v>
      </c>
      <c r="Q36"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15">
      <c r="A37" s="2">
        <v>45580</v>
      </c>
      <c r="B37" s="3">
        <v>8</v>
      </c>
      <c r="C37" s="3">
        <v>0</v>
      </c>
      <c r="D37" s="3" t="s">
        <v>16</v>
      </c>
      <c r="E37" s="3" t="s">
        <v>30</v>
      </c>
      <c r="F37" s="3">
        <v>2000</v>
      </c>
      <c r="G37" s="3">
        <v>2000</v>
      </c>
      <c r="H37" s="3">
        <v>3</v>
      </c>
      <c r="I37" s="3" t="s">
        <v>25</v>
      </c>
      <c r="J37" s="3">
        <v>2.75</v>
      </c>
      <c r="K37" s="3" t="s">
        <v>17</v>
      </c>
      <c r="L37" s="3" t="s">
        <v>17</v>
      </c>
      <c r="M37" s="3" t="s">
        <v>17</v>
      </c>
      <c r="N37" s="3" t="s">
        <v>17</v>
      </c>
      <c r="O37" s="3"/>
      <c r="P37">
        <v>0</v>
      </c>
      <c r="Q37"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15">
      <c r="A38" s="2">
        <v>45580</v>
      </c>
      <c r="B38" s="3">
        <v>8</v>
      </c>
      <c r="C38" s="3">
        <v>0</v>
      </c>
      <c r="D38" s="3" t="s">
        <v>16</v>
      </c>
      <c r="E38" s="3" t="s">
        <v>30</v>
      </c>
      <c r="F38" s="3">
        <v>15000</v>
      </c>
      <c r="G38" s="3">
        <v>15000</v>
      </c>
      <c r="H38" s="3">
        <v>1</v>
      </c>
      <c r="I38" s="3" t="s">
        <v>25</v>
      </c>
      <c r="J38" s="3">
        <v>2.75</v>
      </c>
      <c r="K38" s="3" t="s">
        <v>17</v>
      </c>
      <c r="L38" s="3" t="s">
        <v>17</v>
      </c>
      <c r="M38" s="3" t="s">
        <v>17</v>
      </c>
      <c r="N38" s="3" t="s">
        <v>17</v>
      </c>
      <c r="O38" s="3"/>
      <c r="P38">
        <v>0</v>
      </c>
      <c r="Q38">
        <v>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15">
      <c r="A39" s="2">
        <v>45580</v>
      </c>
      <c r="B39" s="3">
        <v>8</v>
      </c>
      <c r="C39" s="3">
        <v>0</v>
      </c>
      <c r="D39" s="3" t="s">
        <v>16</v>
      </c>
      <c r="E39" s="3" t="s">
        <v>30</v>
      </c>
      <c r="F39" s="3">
        <v>15000</v>
      </c>
      <c r="G39" s="3">
        <v>15000</v>
      </c>
      <c r="H39" s="3">
        <v>2</v>
      </c>
      <c r="I39" s="3" t="s">
        <v>25</v>
      </c>
      <c r="J39" s="3">
        <v>2.75</v>
      </c>
      <c r="K39" s="3" t="s">
        <v>17</v>
      </c>
      <c r="L39" s="3" t="s">
        <v>17</v>
      </c>
      <c r="M39" s="3" t="s">
        <v>17</v>
      </c>
      <c r="N39" s="3" t="s">
        <v>17</v>
      </c>
      <c r="O39" s="3"/>
      <c r="P39">
        <v>0</v>
      </c>
      <c r="Q39"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15">
      <c r="A40" s="2">
        <v>45580</v>
      </c>
      <c r="B40" s="3">
        <v>8</v>
      </c>
      <c r="C40" s="3">
        <v>0</v>
      </c>
      <c r="D40" s="3" t="s">
        <v>16</v>
      </c>
      <c r="E40" s="3" t="s">
        <v>30</v>
      </c>
      <c r="F40" s="3">
        <v>15000</v>
      </c>
      <c r="G40" s="3">
        <v>15000</v>
      </c>
      <c r="H40" s="3">
        <v>3</v>
      </c>
      <c r="I40" s="3" t="s">
        <v>25</v>
      </c>
      <c r="J40" s="3">
        <v>2.75</v>
      </c>
      <c r="K40" s="3" t="s">
        <v>17</v>
      </c>
      <c r="L40" s="3" t="s">
        <v>17</v>
      </c>
      <c r="M40" s="3" t="s">
        <v>17</v>
      </c>
      <c r="N40" s="3" t="s">
        <v>17</v>
      </c>
      <c r="O40" s="3"/>
      <c r="P40">
        <v>0</v>
      </c>
      <c r="Q40"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15">
      <c r="A41" s="2">
        <v>45580</v>
      </c>
      <c r="B41" s="3">
        <v>8</v>
      </c>
      <c r="C41" s="3">
        <v>0</v>
      </c>
      <c r="D41" s="3" t="s">
        <v>16</v>
      </c>
      <c r="E41" s="3" t="s">
        <v>31</v>
      </c>
      <c r="F41" s="3">
        <v>4000</v>
      </c>
      <c r="G41" s="3">
        <v>4000</v>
      </c>
      <c r="H41" s="3">
        <v>1</v>
      </c>
      <c r="I41" s="3" t="s">
        <v>25</v>
      </c>
      <c r="J41" s="3">
        <v>2.75</v>
      </c>
      <c r="K41" s="3" t="s">
        <v>17</v>
      </c>
      <c r="L41" s="3" t="s">
        <v>17</v>
      </c>
      <c r="M41" s="3" t="s">
        <v>17</v>
      </c>
      <c r="N41" s="3" t="s">
        <v>17</v>
      </c>
      <c r="O41" s="3"/>
      <c r="P41">
        <v>0</v>
      </c>
      <c r="Q41"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15">
      <c r="A42" s="2">
        <v>45580</v>
      </c>
      <c r="B42" s="3">
        <v>8</v>
      </c>
      <c r="C42" s="3">
        <v>0</v>
      </c>
      <c r="D42" s="3" t="s">
        <v>16</v>
      </c>
      <c r="E42" s="3" t="s">
        <v>31</v>
      </c>
      <c r="F42" s="3">
        <v>4000</v>
      </c>
      <c r="G42" s="3">
        <v>4000</v>
      </c>
      <c r="H42" s="3">
        <v>2</v>
      </c>
      <c r="I42" s="3" t="s">
        <v>25</v>
      </c>
      <c r="J42" s="3">
        <v>2.75</v>
      </c>
      <c r="K42" s="3" t="s">
        <v>17</v>
      </c>
      <c r="L42" s="3" t="s">
        <v>17</v>
      </c>
      <c r="M42" s="3" t="s">
        <v>17</v>
      </c>
      <c r="N42" s="3" t="s">
        <v>17</v>
      </c>
      <c r="O42" s="3"/>
      <c r="P42">
        <v>0</v>
      </c>
      <c r="Q42"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15">
      <c r="A43" s="2">
        <v>45580</v>
      </c>
      <c r="B43" s="3">
        <v>8</v>
      </c>
      <c r="C43" s="3">
        <v>0</v>
      </c>
      <c r="D43" s="3" t="s">
        <v>16</v>
      </c>
      <c r="E43" s="3" t="s">
        <v>31</v>
      </c>
      <c r="F43" s="3">
        <v>4000</v>
      </c>
      <c r="G43" s="3">
        <v>4000</v>
      </c>
      <c r="H43" s="3">
        <v>3</v>
      </c>
      <c r="I43" s="3" t="s">
        <v>25</v>
      </c>
      <c r="J43" s="3">
        <v>2.75</v>
      </c>
      <c r="K43" s="3" t="s">
        <v>17</v>
      </c>
      <c r="L43" s="3" t="s">
        <v>17</v>
      </c>
      <c r="M43" s="3" t="s">
        <v>17</v>
      </c>
      <c r="N43" s="3" t="s">
        <v>17</v>
      </c>
      <c r="O43" s="3"/>
      <c r="P43">
        <v>0</v>
      </c>
      <c r="Q43"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15">
      <c r="A44" s="2">
        <v>45580</v>
      </c>
      <c r="B44" s="3">
        <v>8</v>
      </c>
      <c r="C44" s="3">
        <v>0</v>
      </c>
      <c r="D44" s="3" t="s">
        <v>16</v>
      </c>
      <c r="E44" s="3" t="s">
        <v>31</v>
      </c>
      <c r="F44" s="3">
        <v>8000</v>
      </c>
      <c r="G44" s="3">
        <v>8000</v>
      </c>
      <c r="H44" s="3">
        <v>1</v>
      </c>
      <c r="I44" s="3" t="s">
        <v>25</v>
      </c>
      <c r="J44" s="3">
        <v>2.75</v>
      </c>
      <c r="K44" s="3" t="s">
        <v>17</v>
      </c>
      <c r="L44" s="3" t="s">
        <v>17</v>
      </c>
      <c r="M44" s="3" t="s">
        <v>17</v>
      </c>
      <c r="N44" s="3" t="s">
        <v>17</v>
      </c>
      <c r="O44" s="3"/>
      <c r="P44">
        <v>0</v>
      </c>
      <c r="Q44"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15">
      <c r="A45" s="2">
        <v>45580</v>
      </c>
      <c r="B45" s="3">
        <v>8</v>
      </c>
      <c r="C45" s="3">
        <v>0</v>
      </c>
      <c r="D45" s="3" t="s">
        <v>16</v>
      </c>
      <c r="E45" s="3" t="s">
        <v>31</v>
      </c>
      <c r="F45" s="3">
        <v>8000</v>
      </c>
      <c r="G45" s="3">
        <v>8000</v>
      </c>
      <c r="H45" s="3">
        <v>2</v>
      </c>
      <c r="I45" s="3" t="s">
        <v>25</v>
      </c>
      <c r="J45" s="3">
        <v>2.75</v>
      </c>
      <c r="K45" s="3" t="s">
        <v>17</v>
      </c>
      <c r="L45" s="3" t="s">
        <v>17</v>
      </c>
      <c r="M45" s="3" t="s">
        <v>17</v>
      </c>
      <c r="N45" s="3" t="s">
        <v>17</v>
      </c>
      <c r="O45" s="3"/>
      <c r="P45">
        <v>0</v>
      </c>
      <c r="Q45"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15">
      <c r="A46" s="2">
        <v>45580</v>
      </c>
      <c r="B46" s="3">
        <v>8</v>
      </c>
      <c r="C46" s="3">
        <v>0</v>
      </c>
      <c r="D46" s="3" t="s">
        <v>16</v>
      </c>
      <c r="E46" s="3" t="s">
        <v>31</v>
      </c>
      <c r="F46" s="3">
        <v>8000</v>
      </c>
      <c r="G46" s="3">
        <v>8000</v>
      </c>
      <c r="H46" s="3">
        <v>3</v>
      </c>
      <c r="I46" s="3" t="s">
        <v>25</v>
      </c>
      <c r="J46" s="3">
        <v>2.75</v>
      </c>
      <c r="K46" s="3" t="s">
        <v>17</v>
      </c>
      <c r="L46" s="3" t="s">
        <v>17</v>
      </c>
      <c r="M46" s="3" t="s">
        <v>17</v>
      </c>
      <c r="N46" s="3" t="s">
        <v>17</v>
      </c>
      <c r="O46" s="3"/>
      <c r="P46">
        <v>0</v>
      </c>
      <c r="Q46"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15">
      <c r="A47" s="2">
        <v>45580</v>
      </c>
      <c r="B47" s="3">
        <v>8</v>
      </c>
      <c r="C47" s="3">
        <v>0</v>
      </c>
      <c r="D47" s="3" t="s">
        <v>16</v>
      </c>
      <c r="E47" s="3" t="s">
        <v>32</v>
      </c>
      <c r="F47" s="5">
        <v>0.01</v>
      </c>
      <c r="G47" s="5">
        <v>0.01</v>
      </c>
      <c r="H47" s="3">
        <v>1</v>
      </c>
      <c r="I47" s="3" t="s">
        <v>25</v>
      </c>
      <c r="J47" s="3">
        <v>2.75</v>
      </c>
      <c r="K47" s="3" t="s">
        <v>17</v>
      </c>
      <c r="L47" s="3" t="s">
        <v>17</v>
      </c>
      <c r="M47" s="3" t="s">
        <v>17</v>
      </c>
      <c r="N47" s="3" t="s">
        <v>17</v>
      </c>
      <c r="O47" s="3"/>
      <c r="P47">
        <v>0</v>
      </c>
      <c r="Q47"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15">
      <c r="A48" s="2">
        <v>45580</v>
      </c>
      <c r="B48" s="3">
        <v>8</v>
      </c>
      <c r="C48" s="3">
        <v>0</v>
      </c>
      <c r="D48" s="3" t="s">
        <v>16</v>
      </c>
      <c r="E48" s="3" t="s">
        <v>32</v>
      </c>
      <c r="F48" s="5">
        <v>0.01</v>
      </c>
      <c r="G48" s="5">
        <v>0.01</v>
      </c>
      <c r="H48" s="3">
        <v>2</v>
      </c>
      <c r="I48" s="3" t="s">
        <v>25</v>
      </c>
      <c r="J48" s="3">
        <v>2.75</v>
      </c>
      <c r="K48" s="3" t="s">
        <v>17</v>
      </c>
      <c r="L48" s="3" t="s">
        <v>17</v>
      </c>
      <c r="M48" s="3" t="s">
        <v>17</v>
      </c>
      <c r="N48" s="3" t="s">
        <v>17</v>
      </c>
      <c r="O48" s="3"/>
      <c r="P48">
        <v>0</v>
      </c>
      <c r="Q48"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15">
      <c r="A49" s="2">
        <v>45580</v>
      </c>
      <c r="B49" s="3">
        <v>8</v>
      </c>
      <c r="C49" s="3">
        <v>0</v>
      </c>
      <c r="D49" s="3" t="s">
        <v>16</v>
      </c>
      <c r="E49" s="3" t="s">
        <v>32</v>
      </c>
      <c r="F49" s="5">
        <v>0.01</v>
      </c>
      <c r="G49" s="5">
        <v>0.01</v>
      </c>
      <c r="H49" s="3">
        <v>3</v>
      </c>
      <c r="I49" s="3" t="s">
        <v>25</v>
      </c>
      <c r="J49" s="3">
        <v>2.75</v>
      </c>
      <c r="K49" s="3" t="s">
        <v>17</v>
      </c>
      <c r="L49" s="3" t="s">
        <v>17</v>
      </c>
      <c r="M49" s="3" t="s">
        <v>17</v>
      </c>
      <c r="N49" s="3" t="s">
        <v>17</v>
      </c>
      <c r="O49" s="3"/>
      <c r="P49">
        <v>0</v>
      </c>
      <c r="Q49"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15">
      <c r="A50" s="2">
        <v>45583</v>
      </c>
      <c r="B50" s="3">
        <v>11</v>
      </c>
      <c r="C50" s="3">
        <v>3</v>
      </c>
      <c r="D50" s="3" t="s">
        <v>16</v>
      </c>
      <c r="E50" s="3" t="s">
        <v>24</v>
      </c>
      <c r="F50" s="3">
        <v>100</v>
      </c>
      <c r="G50" s="3">
        <v>100</v>
      </c>
      <c r="H50" s="3">
        <v>1</v>
      </c>
      <c r="I50" s="3" t="s">
        <v>25</v>
      </c>
      <c r="J50" s="3">
        <v>5.55</v>
      </c>
      <c r="K50" s="3">
        <v>2.75</v>
      </c>
      <c r="L50" s="3">
        <v>1</v>
      </c>
      <c r="M50" s="3">
        <v>2.75</v>
      </c>
      <c r="N50" s="3" t="s">
        <v>17</v>
      </c>
      <c r="O50" s="3"/>
      <c r="P50">
        <v>0</v>
      </c>
      <c r="Q50">
        <v>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4" x14ac:dyDescent="0.15">
      <c r="A51" s="2">
        <v>45583</v>
      </c>
      <c r="B51" s="3">
        <v>11</v>
      </c>
      <c r="C51" s="3">
        <v>3</v>
      </c>
      <c r="D51" s="3" t="s">
        <v>16</v>
      </c>
      <c r="E51" s="3" t="s">
        <v>24</v>
      </c>
      <c r="F51" s="3">
        <v>100</v>
      </c>
      <c r="G51" s="3">
        <v>100</v>
      </c>
      <c r="H51" s="3">
        <v>2</v>
      </c>
      <c r="I51" s="3" t="s">
        <v>25</v>
      </c>
      <c r="J51" s="3">
        <v>5.32</v>
      </c>
      <c r="K51" s="3">
        <v>2.75</v>
      </c>
      <c r="L51" s="3">
        <v>1</v>
      </c>
      <c r="M51" s="3">
        <v>2.75</v>
      </c>
      <c r="N51" s="3" t="s">
        <v>17</v>
      </c>
      <c r="O51" s="3"/>
      <c r="P51">
        <v>0</v>
      </c>
      <c r="Q51">
        <v>0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4" x14ac:dyDescent="0.15">
      <c r="A52" s="2">
        <v>45583</v>
      </c>
      <c r="B52" s="3">
        <v>11</v>
      </c>
      <c r="C52" s="3">
        <v>3</v>
      </c>
      <c r="D52" s="3" t="s">
        <v>16</v>
      </c>
      <c r="E52" s="3" t="s">
        <v>24</v>
      </c>
      <c r="F52" s="3">
        <v>100</v>
      </c>
      <c r="G52" s="3">
        <v>100</v>
      </c>
      <c r="H52" s="3">
        <v>3</v>
      </c>
      <c r="I52" s="3" t="s">
        <v>25</v>
      </c>
      <c r="J52" s="3">
        <v>5.95</v>
      </c>
      <c r="K52" s="3">
        <v>2.75</v>
      </c>
      <c r="L52" s="3">
        <v>1</v>
      </c>
      <c r="M52" s="3">
        <v>2.75</v>
      </c>
      <c r="N52" s="3" t="s">
        <v>17</v>
      </c>
      <c r="O52" s="3"/>
      <c r="P52">
        <v>0</v>
      </c>
      <c r="Q52">
        <v>0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4" x14ac:dyDescent="0.15">
      <c r="A53" s="2">
        <v>45583</v>
      </c>
      <c r="B53" s="3">
        <v>11</v>
      </c>
      <c r="C53" s="3">
        <v>3</v>
      </c>
      <c r="D53" s="3" t="s">
        <v>16</v>
      </c>
      <c r="E53" s="3" t="s">
        <v>24</v>
      </c>
      <c r="F53" s="3">
        <v>1000</v>
      </c>
      <c r="G53" s="3">
        <v>1000</v>
      </c>
      <c r="H53" s="3">
        <v>1</v>
      </c>
      <c r="I53" s="3" t="s">
        <v>25</v>
      </c>
      <c r="J53" s="3">
        <v>2.91</v>
      </c>
      <c r="K53" s="3">
        <v>2.75</v>
      </c>
      <c r="L53" s="3">
        <v>1</v>
      </c>
      <c r="M53" s="3">
        <v>2.75</v>
      </c>
      <c r="N53" s="3" t="s">
        <v>17</v>
      </c>
      <c r="O53" s="3"/>
      <c r="P53">
        <f>LOG(J53/J14,2)</f>
        <v>8.1587534496262118E-2</v>
      </c>
      <c r="Q53">
        <f>P53+Q14</f>
        <v>8.1587534496262118E-2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4" x14ac:dyDescent="0.15">
      <c r="A54" s="2">
        <v>45583</v>
      </c>
      <c r="B54" s="3">
        <v>11</v>
      </c>
      <c r="C54" s="3">
        <v>3</v>
      </c>
      <c r="D54" s="3" t="s">
        <v>16</v>
      </c>
      <c r="E54" s="3" t="s">
        <v>24</v>
      </c>
      <c r="F54" s="3">
        <v>1000</v>
      </c>
      <c r="G54" s="3">
        <v>1000</v>
      </c>
      <c r="H54" s="3">
        <v>2</v>
      </c>
      <c r="I54" s="3" t="s">
        <v>25</v>
      </c>
      <c r="J54" s="3">
        <v>2.34</v>
      </c>
      <c r="K54" s="3">
        <v>2.75</v>
      </c>
      <c r="L54" s="3">
        <v>1</v>
      </c>
      <c r="M54" s="3">
        <v>2.75</v>
      </c>
      <c r="N54" s="3" t="s">
        <v>17</v>
      </c>
      <c r="O54" s="3"/>
      <c r="P54">
        <f>LOG(J54/J15,2)</f>
        <v>-0.23292308882861756</v>
      </c>
      <c r="Q54">
        <f t="shared" ref="Q54:Q117" si="0">P54+Q15</f>
        <v>-0.23292308882861756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4" x14ac:dyDescent="0.15">
      <c r="A55" s="2">
        <v>45583</v>
      </c>
      <c r="B55" s="3">
        <v>11</v>
      </c>
      <c r="C55" s="3">
        <v>3</v>
      </c>
      <c r="D55" s="3" t="s">
        <v>16</v>
      </c>
      <c r="E55" s="3" t="s">
        <v>24</v>
      </c>
      <c r="F55" s="3">
        <v>1000</v>
      </c>
      <c r="G55" s="3">
        <v>1000</v>
      </c>
      <c r="H55" s="3">
        <v>3</v>
      </c>
      <c r="I55" s="3" t="s">
        <v>25</v>
      </c>
      <c r="J55" s="3">
        <v>2.38</v>
      </c>
      <c r="K55" s="3">
        <v>2.75</v>
      </c>
      <c r="L55" s="3">
        <v>1</v>
      </c>
      <c r="M55" s="3">
        <v>2.75</v>
      </c>
      <c r="N55" s="3" t="s">
        <v>17</v>
      </c>
      <c r="O55" s="3"/>
      <c r="P55">
        <f>LOG(J55/J16,2)</f>
        <v>-0.20847004510407857</v>
      </c>
      <c r="Q55">
        <f t="shared" si="0"/>
        <v>-0.20847004510407857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4" x14ac:dyDescent="0.15">
      <c r="A56" s="2">
        <v>45583</v>
      </c>
      <c r="B56" s="3">
        <v>11</v>
      </c>
      <c r="C56" s="3">
        <v>3</v>
      </c>
      <c r="D56" s="3" t="s">
        <v>16</v>
      </c>
      <c r="E56" s="3" t="s">
        <v>27</v>
      </c>
      <c r="F56" s="3">
        <v>1250</v>
      </c>
      <c r="G56" s="3">
        <v>1250</v>
      </c>
      <c r="H56" s="3">
        <v>1</v>
      </c>
      <c r="I56" s="3" t="s">
        <v>25</v>
      </c>
      <c r="J56" s="3">
        <v>6.7</v>
      </c>
      <c r="K56" s="3">
        <v>2.75</v>
      </c>
      <c r="L56" s="3">
        <v>1</v>
      </c>
      <c r="M56" s="3">
        <v>2.75</v>
      </c>
      <c r="N56" s="3" t="s">
        <v>17</v>
      </c>
      <c r="O56" s="3"/>
      <c r="P56">
        <f t="shared" ref="P56:P82" si="1">LOG(J56/J17,2)</f>
        <v>1.284729476933113</v>
      </c>
      <c r="Q56">
        <f t="shared" si="0"/>
        <v>1.284729476933113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4" x14ac:dyDescent="0.15">
      <c r="A57" s="2">
        <v>45583</v>
      </c>
      <c r="B57" s="3">
        <v>11</v>
      </c>
      <c r="C57" s="3">
        <v>3</v>
      </c>
      <c r="D57" s="3" t="s">
        <v>16</v>
      </c>
      <c r="E57" s="3" t="s">
        <v>27</v>
      </c>
      <c r="F57" s="3">
        <v>1250</v>
      </c>
      <c r="G57" s="3">
        <v>1250</v>
      </c>
      <c r="H57" s="3">
        <v>2</v>
      </c>
      <c r="I57" s="3" t="s">
        <v>25</v>
      </c>
      <c r="J57" s="3">
        <v>7.22</v>
      </c>
      <c r="K57" s="3">
        <v>2.75</v>
      </c>
      <c r="L57" s="3">
        <v>1</v>
      </c>
      <c r="M57" s="3">
        <v>2.75</v>
      </c>
      <c r="N57" s="3" t="s">
        <v>17</v>
      </c>
      <c r="O57" s="3"/>
      <c r="P57">
        <f t="shared" si="1"/>
        <v>1.392567218475149</v>
      </c>
      <c r="Q57">
        <f t="shared" si="0"/>
        <v>1.392567218475149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4" x14ac:dyDescent="0.15">
      <c r="A58" s="2">
        <v>45583</v>
      </c>
      <c r="B58" s="3">
        <v>11</v>
      </c>
      <c r="C58" s="3">
        <v>3</v>
      </c>
      <c r="D58" s="3" t="s">
        <v>16</v>
      </c>
      <c r="E58" s="3" t="s">
        <v>27</v>
      </c>
      <c r="F58" s="3">
        <v>1250</v>
      </c>
      <c r="G58" s="3">
        <v>1250</v>
      </c>
      <c r="H58" s="3">
        <v>3</v>
      </c>
      <c r="I58" s="3" t="s">
        <v>25</v>
      </c>
      <c r="J58" s="3">
        <v>6.96</v>
      </c>
      <c r="K58" s="3">
        <v>2.75</v>
      </c>
      <c r="L58" s="3">
        <v>1</v>
      </c>
      <c r="M58" s="3">
        <v>2.75</v>
      </c>
      <c r="N58" s="3" t="s">
        <v>17</v>
      </c>
      <c r="O58" s="3"/>
      <c r="P58">
        <f t="shared" si="1"/>
        <v>1.3396556874367063</v>
      </c>
      <c r="Q58">
        <f t="shared" si="0"/>
        <v>1.3396556874367063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4" x14ac:dyDescent="0.15">
      <c r="A59" s="2">
        <v>45583</v>
      </c>
      <c r="B59" s="3">
        <v>11</v>
      </c>
      <c r="C59" s="3">
        <v>3</v>
      </c>
      <c r="D59" s="3" t="s">
        <v>16</v>
      </c>
      <c r="E59" s="3" t="s">
        <v>27</v>
      </c>
      <c r="F59" s="3">
        <v>5000</v>
      </c>
      <c r="G59" s="3">
        <v>5000</v>
      </c>
      <c r="H59" s="3">
        <v>1</v>
      </c>
      <c r="I59" s="3" t="s">
        <v>25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43</v>
      </c>
      <c r="Q59">
        <f t="shared" si="0"/>
        <v>0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4" x14ac:dyDescent="0.15">
      <c r="A60" s="2">
        <v>45583</v>
      </c>
      <c r="B60" s="3">
        <v>11</v>
      </c>
      <c r="C60" s="3">
        <v>3</v>
      </c>
      <c r="D60" s="3" t="s">
        <v>16</v>
      </c>
      <c r="E60" s="3" t="s">
        <v>27</v>
      </c>
      <c r="F60" s="3">
        <v>5000</v>
      </c>
      <c r="G60" s="3">
        <v>5000</v>
      </c>
      <c r="H60" s="3">
        <v>2</v>
      </c>
      <c r="I60" s="3" t="s">
        <v>25</v>
      </c>
      <c r="J60" s="3" t="s">
        <v>17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43</v>
      </c>
      <c r="Q60">
        <f t="shared" si="0"/>
        <v>0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4" x14ac:dyDescent="0.15">
      <c r="A61" s="2">
        <v>45583</v>
      </c>
      <c r="B61" s="3">
        <v>11</v>
      </c>
      <c r="C61" s="3">
        <v>3</v>
      </c>
      <c r="D61" s="3" t="s">
        <v>16</v>
      </c>
      <c r="E61" s="3" t="s">
        <v>27</v>
      </c>
      <c r="F61" s="3">
        <v>5000</v>
      </c>
      <c r="G61" s="3">
        <v>5000</v>
      </c>
      <c r="H61" s="3">
        <v>3</v>
      </c>
      <c r="I61" s="3" t="s">
        <v>25</v>
      </c>
      <c r="J61" s="3" t="s">
        <v>17</v>
      </c>
      <c r="K61" s="3" t="s">
        <v>17</v>
      </c>
      <c r="L61" s="3" t="s">
        <v>17</v>
      </c>
      <c r="M61" s="3" t="s">
        <v>17</v>
      </c>
      <c r="N61" s="3" t="s">
        <v>17</v>
      </c>
      <c r="O61" s="3" t="s">
        <v>43</v>
      </c>
      <c r="Q61">
        <f t="shared" si="0"/>
        <v>0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" x14ac:dyDescent="0.15">
      <c r="A62" s="2">
        <v>45583</v>
      </c>
      <c r="B62" s="3">
        <v>11</v>
      </c>
      <c r="C62" s="3">
        <v>3</v>
      </c>
      <c r="D62" s="3" t="s">
        <v>16</v>
      </c>
      <c r="E62" s="3" t="s">
        <v>28</v>
      </c>
      <c r="F62" s="3">
        <v>1500</v>
      </c>
      <c r="G62" s="3">
        <v>1500</v>
      </c>
      <c r="H62" s="3">
        <v>1</v>
      </c>
      <c r="I62" s="3" t="s">
        <v>25</v>
      </c>
      <c r="J62" s="3">
        <v>5.89</v>
      </c>
      <c r="K62" s="14">
        <v>2.75</v>
      </c>
      <c r="L62" s="14">
        <v>1</v>
      </c>
      <c r="M62" s="14">
        <v>2.75</v>
      </c>
      <c r="N62" s="3" t="s">
        <v>17</v>
      </c>
      <c r="O62" s="3"/>
      <c r="P62">
        <f t="shared" si="1"/>
        <v>1.0988360154184387</v>
      </c>
      <c r="Q62">
        <f>P62+Q23</f>
        <v>1.0988360154184387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4" x14ac:dyDescent="0.15">
      <c r="A63" s="2">
        <v>45583</v>
      </c>
      <c r="B63" s="3">
        <v>11</v>
      </c>
      <c r="C63" s="3">
        <v>3</v>
      </c>
      <c r="D63" s="3" t="s">
        <v>16</v>
      </c>
      <c r="E63" s="3" t="s">
        <v>28</v>
      </c>
      <c r="F63" s="3">
        <v>1500</v>
      </c>
      <c r="G63" s="3">
        <v>1500</v>
      </c>
      <c r="H63" s="3">
        <v>2</v>
      </c>
      <c r="I63" s="3" t="s">
        <v>25</v>
      </c>
      <c r="J63" s="3">
        <v>4.6900000000000004</v>
      </c>
      <c r="K63" s="14">
        <v>2.75</v>
      </c>
      <c r="L63" s="14">
        <v>1</v>
      </c>
      <c r="M63" s="14">
        <v>2.75</v>
      </c>
      <c r="N63" s="3" t="s">
        <v>17</v>
      </c>
      <c r="O63" s="3"/>
      <c r="P63">
        <f t="shared" si="1"/>
        <v>0.77015630410335478</v>
      </c>
      <c r="Q63">
        <f t="shared" si="0"/>
        <v>0.77015630410335478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4" x14ac:dyDescent="0.15">
      <c r="A64" s="2">
        <v>45583</v>
      </c>
      <c r="B64" s="3">
        <v>11</v>
      </c>
      <c r="C64" s="3">
        <v>3</v>
      </c>
      <c r="D64" s="3" t="s">
        <v>16</v>
      </c>
      <c r="E64" s="3" t="s">
        <v>28</v>
      </c>
      <c r="F64" s="3">
        <v>1500</v>
      </c>
      <c r="G64" s="3">
        <v>1500</v>
      </c>
      <c r="H64" s="3">
        <v>3</v>
      </c>
      <c r="I64" s="3" t="s">
        <v>25</v>
      </c>
      <c r="J64" s="3">
        <v>5.83</v>
      </c>
      <c r="K64" s="14">
        <v>2.75</v>
      </c>
      <c r="L64" s="14">
        <v>1</v>
      </c>
      <c r="M64" s="14">
        <v>2.75</v>
      </c>
      <c r="N64" s="3" t="s">
        <v>17</v>
      </c>
      <c r="O64" s="3"/>
      <c r="P64">
        <f t="shared" si="1"/>
        <v>1.0840642647884746</v>
      </c>
      <c r="Q64">
        <f t="shared" si="0"/>
        <v>1.0840642647884746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4" x14ac:dyDescent="0.15">
      <c r="A65" s="2">
        <v>45583</v>
      </c>
      <c r="B65" s="3">
        <v>11</v>
      </c>
      <c r="C65" s="3">
        <v>3</v>
      </c>
      <c r="D65" s="3" t="s">
        <v>16</v>
      </c>
      <c r="E65" s="3" t="s">
        <v>28</v>
      </c>
      <c r="F65" s="3">
        <v>5000</v>
      </c>
      <c r="G65" s="3">
        <v>5000</v>
      </c>
      <c r="H65" s="3">
        <v>1</v>
      </c>
      <c r="I65" s="3" t="s">
        <v>25</v>
      </c>
      <c r="J65" s="3" t="s">
        <v>17</v>
      </c>
      <c r="K65" s="3" t="s">
        <v>17</v>
      </c>
      <c r="L65" s="3" t="s">
        <v>17</v>
      </c>
      <c r="M65" s="3" t="s">
        <v>17</v>
      </c>
      <c r="N65" s="3" t="s">
        <v>17</v>
      </c>
      <c r="O65" s="3" t="s">
        <v>43</v>
      </c>
      <c r="Q65">
        <f t="shared" si="0"/>
        <v>0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4" x14ac:dyDescent="0.15">
      <c r="A66" s="2">
        <v>45583</v>
      </c>
      <c r="B66" s="3">
        <v>11</v>
      </c>
      <c r="C66" s="3">
        <v>3</v>
      </c>
      <c r="D66" s="3" t="s">
        <v>16</v>
      </c>
      <c r="E66" s="3" t="s">
        <v>28</v>
      </c>
      <c r="F66" s="3">
        <v>5000</v>
      </c>
      <c r="G66" s="3">
        <v>5000</v>
      </c>
      <c r="H66" s="3">
        <v>2</v>
      </c>
      <c r="I66" s="3" t="s">
        <v>25</v>
      </c>
      <c r="J66" s="3" t="s">
        <v>17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43</v>
      </c>
      <c r="Q66">
        <f t="shared" si="0"/>
        <v>0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4" x14ac:dyDescent="0.15">
      <c r="A67" s="2">
        <v>45583</v>
      </c>
      <c r="B67" s="3">
        <v>11</v>
      </c>
      <c r="C67" s="3">
        <v>3</v>
      </c>
      <c r="D67" s="3" t="s">
        <v>16</v>
      </c>
      <c r="E67" s="3" t="s">
        <v>28</v>
      </c>
      <c r="F67" s="3">
        <v>5000</v>
      </c>
      <c r="G67" s="3">
        <v>5000</v>
      </c>
      <c r="H67" s="3">
        <v>3</v>
      </c>
      <c r="I67" s="3" t="s">
        <v>25</v>
      </c>
      <c r="J67" s="3" t="s">
        <v>17</v>
      </c>
      <c r="K67" s="3" t="s">
        <v>17</v>
      </c>
      <c r="L67" s="3" t="s">
        <v>17</v>
      </c>
      <c r="M67" s="3" t="s">
        <v>17</v>
      </c>
      <c r="N67" s="3" t="s">
        <v>17</v>
      </c>
      <c r="O67" s="3" t="s">
        <v>43</v>
      </c>
      <c r="Q67">
        <f t="shared" si="0"/>
        <v>0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28" x14ac:dyDescent="0.15">
      <c r="A68" s="2">
        <v>45583</v>
      </c>
      <c r="B68" s="3">
        <v>11</v>
      </c>
      <c r="C68" s="3">
        <v>3</v>
      </c>
      <c r="D68" s="3" t="s">
        <v>16</v>
      </c>
      <c r="E68" s="3" t="s">
        <v>29</v>
      </c>
      <c r="F68" s="3">
        <v>1000</v>
      </c>
      <c r="G68" s="3">
        <v>500</v>
      </c>
      <c r="H68" s="3">
        <v>1</v>
      </c>
      <c r="I68" s="3" t="s">
        <v>25</v>
      </c>
      <c r="J68" s="3">
        <v>2.2000000000000002</v>
      </c>
      <c r="K68" s="3">
        <v>2.2000000000000002</v>
      </c>
      <c r="L68" s="3" t="s">
        <v>17</v>
      </c>
      <c r="M68" s="3" t="s">
        <v>17</v>
      </c>
      <c r="N68" s="3" t="s">
        <v>17</v>
      </c>
      <c r="O68" s="15" t="s">
        <v>44</v>
      </c>
      <c r="P68">
        <f t="shared" si="1"/>
        <v>-0.32192809488736229</v>
      </c>
      <c r="Q68">
        <f t="shared" si="0"/>
        <v>-0.32192809488736229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28" x14ac:dyDescent="0.15">
      <c r="A69" s="2">
        <v>45583</v>
      </c>
      <c r="B69" s="3">
        <v>11</v>
      </c>
      <c r="C69" s="3">
        <v>3</v>
      </c>
      <c r="D69" s="3" t="s">
        <v>16</v>
      </c>
      <c r="E69" s="3" t="s">
        <v>29</v>
      </c>
      <c r="F69" s="3">
        <v>1000</v>
      </c>
      <c r="G69" s="3">
        <v>500</v>
      </c>
      <c r="H69" s="3">
        <v>2</v>
      </c>
      <c r="I69" s="3" t="s">
        <v>25</v>
      </c>
      <c r="J69" s="3">
        <v>1.1100000000000001</v>
      </c>
      <c r="K69" s="3">
        <v>1.1100000000000001</v>
      </c>
      <c r="L69" s="3" t="s">
        <v>17</v>
      </c>
      <c r="M69" s="3" t="s">
        <v>17</v>
      </c>
      <c r="N69" s="3" t="s">
        <v>17</v>
      </c>
      <c r="O69" s="15" t="s">
        <v>44</v>
      </c>
      <c r="P69">
        <f t="shared" si="1"/>
        <v>-1.3088719420619157</v>
      </c>
      <c r="Q69">
        <f t="shared" si="0"/>
        <v>-1.3088719420619157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28" x14ac:dyDescent="0.15">
      <c r="A70" s="2">
        <v>45583</v>
      </c>
      <c r="B70" s="3">
        <v>11</v>
      </c>
      <c r="C70" s="3">
        <v>3</v>
      </c>
      <c r="D70" s="3" t="s">
        <v>16</v>
      </c>
      <c r="E70" s="3" t="s">
        <v>29</v>
      </c>
      <c r="F70" s="3">
        <v>1000</v>
      </c>
      <c r="G70" s="3">
        <v>500</v>
      </c>
      <c r="H70" s="3">
        <v>3</v>
      </c>
      <c r="I70" s="3" t="s">
        <v>25</v>
      </c>
      <c r="J70" s="3">
        <v>1.89</v>
      </c>
      <c r="K70" s="3">
        <v>1.89</v>
      </c>
      <c r="L70" s="3" t="s">
        <v>17</v>
      </c>
      <c r="M70" s="3" t="s">
        <v>17</v>
      </c>
      <c r="N70" s="3" t="s">
        <v>17</v>
      </c>
      <c r="O70" s="15" t="s">
        <v>44</v>
      </c>
      <c r="P70">
        <f t="shared" si="1"/>
        <v>-0.54104538419094939</v>
      </c>
      <c r="Q70">
        <f t="shared" si="0"/>
        <v>-0.54104538419094939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4" x14ac:dyDescent="0.15">
      <c r="A71" s="2">
        <v>45583</v>
      </c>
      <c r="B71" s="3">
        <v>11</v>
      </c>
      <c r="C71" s="3">
        <v>3</v>
      </c>
      <c r="D71" s="3" t="s">
        <v>16</v>
      </c>
      <c r="E71" s="3" t="s">
        <v>29</v>
      </c>
      <c r="F71" s="3">
        <v>2500</v>
      </c>
      <c r="G71" s="3">
        <v>2500</v>
      </c>
      <c r="H71" s="3">
        <v>1</v>
      </c>
      <c r="I71" s="3" t="s">
        <v>25</v>
      </c>
      <c r="J71" s="3" t="s">
        <v>17</v>
      </c>
      <c r="K71" s="3" t="s">
        <v>17</v>
      </c>
      <c r="L71" s="3" t="s">
        <v>17</v>
      </c>
      <c r="M71" s="3" t="s">
        <v>17</v>
      </c>
      <c r="N71" s="3" t="s">
        <v>17</v>
      </c>
      <c r="O71" s="3" t="s">
        <v>43</v>
      </c>
      <c r="Q71">
        <f t="shared" si="0"/>
        <v>0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4" x14ac:dyDescent="0.15">
      <c r="A72" s="2">
        <v>45583</v>
      </c>
      <c r="B72" s="3">
        <v>11</v>
      </c>
      <c r="C72" s="3">
        <v>3</v>
      </c>
      <c r="D72" s="3" t="s">
        <v>16</v>
      </c>
      <c r="E72" s="3" t="s">
        <v>29</v>
      </c>
      <c r="F72" s="3">
        <v>2500</v>
      </c>
      <c r="G72" s="3">
        <v>2500</v>
      </c>
      <c r="H72" s="3">
        <v>2</v>
      </c>
      <c r="I72" s="3" t="s">
        <v>25</v>
      </c>
      <c r="J72" s="3" t="s">
        <v>17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43</v>
      </c>
      <c r="Q72">
        <f t="shared" si="0"/>
        <v>0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4" x14ac:dyDescent="0.15">
      <c r="A73" s="2">
        <v>45583</v>
      </c>
      <c r="B73" s="3">
        <v>11</v>
      </c>
      <c r="C73" s="3">
        <v>3</v>
      </c>
      <c r="D73" s="3" t="s">
        <v>16</v>
      </c>
      <c r="E73" s="3" t="s">
        <v>29</v>
      </c>
      <c r="F73" s="3">
        <v>2500</v>
      </c>
      <c r="G73" s="3">
        <v>2500</v>
      </c>
      <c r="H73" s="3">
        <v>3</v>
      </c>
      <c r="I73" s="3" t="s">
        <v>25</v>
      </c>
      <c r="J73" s="3" t="s">
        <v>17</v>
      </c>
      <c r="K73" s="3" t="s">
        <v>17</v>
      </c>
      <c r="L73" s="3" t="s">
        <v>17</v>
      </c>
      <c r="M73" s="3" t="s">
        <v>17</v>
      </c>
      <c r="N73" s="3" t="s">
        <v>17</v>
      </c>
      <c r="O73" s="3" t="s">
        <v>43</v>
      </c>
      <c r="Q73">
        <f t="shared" si="0"/>
        <v>0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4" x14ac:dyDescent="0.15">
      <c r="A74" s="2">
        <v>45583</v>
      </c>
      <c r="B74" s="3">
        <v>11</v>
      </c>
      <c r="C74" s="3">
        <v>3</v>
      </c>
      <c r="D74" s="3" t="s">
        <v>16</v>
      </c>
      <c r="E74" s="3" t="s">
        <v>30</v>
      </c>
      <c r="F74" s="3">
        <v>2000</v>
      </c>
      <c r="G74" s="3">
        <v>2000</v>
      </c>
      <c r="H74" s="3">
        <v>1</v>
      </c>
      <c r="I74" s="3" t="s">
        <v>25</v>
      </c>
      <c r="J74" s="3">
        <v>5.12</v>
      </c>
      <c r="K74" s="14">
        <v>2.75</v>
      </c>
      <c r="L74" s="14">
        <v>1</v>
      </c>
      <c r="M74" s="14">
        <v>2.75</v>
      </c>
      <c r="N74" s="3" t="s">
        <v>17</v>
      </c>
      <c r="O74" s="3"/>
      <c r="P74">
        <f t="shared" si="1"/>
        <v>0.89671219158797799</v>
      </c>
      <c r="Q74">
        <f t="shared" si="0"/>
        <v>0.89671219158797799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4" x14ac:dyDescent="0.15">
      <c r="A75" s="2">
        <v>45583</v>
      </c>
      <c r="B75" s="3">
        <v>11</v>
      </c>
      <c r="C75" s="3">
        <v>3</v>
      </c>
      <c r="D75" s="3" t="s">
        <v>16</v>
      </c>
      <c r="E75" s="3" t="s">
        <v>30</v>
      </c>
      <c r="F75" s="3">
        <v>2000</v>
      </c>
      <c r="G75" s="3">
        <v>2000</v>
      </c>
      <c r="H75" s="3">
        <v>2</v>
      </c>
      <c r="I75" s="3" t="s">
        <v>25</v>
      </c>
      <c r="J75" s="3">
        <v>5.79</v>
      </c>
      <c r="K75" s="14">
        <v>2.75</v>
      </c>
      <c r="L75" s="14">
        <v>1</v>
      </c>
      <c r="M75" s="14">
        <v>2.75</v>
      </c>
      <c r="N75" s="3" t="s">
        <v>17</v>
      </c>
      <c r="O75" s="3"/>
      <c r="P75">
        <f t="shared" si="1"/>
        <v>1.0741317295772146</v>
      </c>
      <c r="Q75">
        <f t="shared" si="0"/>
        <v>1.0741317295772146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4" x14ac:dyDescent="0.15">
      <c r="A76" s="2">
        <v>45583</v>
      </c>
      <c r="B76" s="3">
        <v>11</v>
      </c>
      <c r="C76" s="3">
        <v>3</v>
      </c>
      <c r="D76" s="3" t="s">
        <v>16</v>
      </c>
      <c r="E76" s="3" t="s">
        <v>30</v>
      </c>
      <c r="F76" s="3">
        <v>2000</v>
      </c>
      <c r="G76" s="3">
        <v>2000</v>
      </c>
      <c r="H76" s="3">
        <v>3</v>
      </c>
      <c r="I76" s="3" t="s">
        <v>25</v>
      </c>
      <c r="J76" s="3">
        <v>5.79</v>
      </c>
      <c r="K76" s="14">
        <v>2.75</v>
      </c>
      <c r="L76" s="14">
        <v>1</v>
      </c>
      <c r="M76" s="14">
        <v>2.75</v>
      </c>
      <c r="N76" s="3" t="s">
        <v>17</v>
      </c>
      <c r="O76" s="3"/>
      <c r="P76">
        <f t="shared" si="1"/>
        <v>1.0741317295772146</v>
      </c>
      <c r="Q76">
        <f t="shared" si="0"/>
        <v>1.0741317295772146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4" x14ac:dyDescent="0.15">
      <c r="A77" s="2">
        <v>45583</v>
      </c>
      <c r="B77" s="3">
        <v>11</v>
      </c>
      <c r="C77" s="3">
        <v>3</v>
      </c>
      <c r="D77" s="3" t="s">
        <v>16</v>
      </c>
      <c r="E77" s="3" t="s">
        <v>30</v>
      </c>
      <c r="F77" s="3">
        <v>15000</v>
      </c>
      <c r="G77" s="3">
        <v>15000</v>
      </c>
      <c r="H77" s="3">
        <v>1</v>
      </c>
      <c r="I77" s="3" t="s">
        <v>25</v>
      </c>
      <c r="J77" s="3" t="s">
        <v>17</v>
      </c>
      <c r="K77" s="3" t="s">
        <v>17</v>
      </c>
      <c r="L77" s="3" t="s">
        <v>17</v>
      </c>
      <c r="M77" s="3" t="s">
        <v>17</v>
      </c>
      <c r="N77" s="3" t="s">
        <v>17</v>
      </c>
      <c r="O77" s="3" t="s">
        <v>43</v>
      </c>
      <c r="Q77">
        <f t="shared" si="0"/>
        <v>0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4" x14ac:dyDescent="0.15">
      <c r="A78" s="2">
        <v>45583</v>
      </c>
      <c r="B78" s="3">
        <v>11</v>
      </c>
      <c r="C78" s="3">
        <v>3</v>
      </c>
      <c r="D78" s="3" t="s">
        <v>16</v>
      </c>
      <c r="E78" s="3" t="s">
        <v>30</v>
      </c>
      <c r="F78" s="3">
        <v>15000</v>
      </c>
      <c r="G78" s="3">
        <v>15000</v>
      </c>
      <c r="H78" s="3">
        <v>2</v>
      </c>
      <c r="I78" s="3" t="s">
        <v>25</v>
      </c>
      <c r="J78" s="3" t="s">
        <v>17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43</v>
      </c>
      <c r="Q78">
        <f t="shared" si="0"/>
        <v>0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4" x14ac:dyDescent="0.15">
      <c r="A79" s="2">
        <v>45583</v>
      </c>
      <c r="B79" s="3">
        <v>11</v>
      </c>
      <c r="C79" s="3">
        <v>3</v>
      </c>
      <c r="D79" s="3" t="s">
        <v>16</v>
      </c>
      <c r="E79" s="3" t="s">
        <v>30</v>
      </c>
      <c r="F79" s="3">
        <v>15000</v>
      </c>
      <c r="G79" s="3">
        <v>15000</v>
      </c>
      <c r="H79" s="3">
        <v>3</v>
      </c>
      <c r="I79" s="3" t="s">
        <v>25</v>
      </c>
      <c r="J79" s="3" t="s">
        <v>17</v>
      </c>
      <c r="K79" s="3" t="s">
        <v>17</v>
      </c>
      <c r="L79" s="3" t="s">
        <v>17</v>
      </c>
      <c r="M79" s="3" t="s">
        <v>17</v>
      </c>
      <c r="N79" s="3" t="s">
        <v>17</v>
      </c>
      <c r="O79" s="3" t="s">
        <v>43</v>
      </c>
      <c r="Q79">
        <f t="shared" si="0"/>
        <v>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4" x14ac:dyDescent="0.15">
      <c r="A80" s="2">
        <v>45583</v>
      </c>
      <c r="B80" s="3">
        <v>11</v>
      </c>
      <c r="C80" s="3">
        <v>3</v>
      </c>
      <c r="D80" s="3" t="s">
        <v>16</v>
      </c>
      <c r="E80" s="3" t="s">
        <v>31</v>
      </c>
      <c r="F80" s="3">
        <v>4000</v>
      </c>
      <c r="G80" s="3">
        <v>4000</v>
      </c>
      <c r="H80" s="3">
        <v>1</v>
      </c>
      <c r="I80" s="3" t="s">
        <v>25</v>
      </c>
      <c r="J80" s="3">
        <v>8.01</v>
      </c>
      <c r="K80" s="14">
        <v>2.75</v>
      </c>
      <c r="L80" s="14">
        <v>1</v>
      </c>
      <c r="M80" s="14">
        <v>2.75</v>
      </c>
      <c r="N80" s="3" t="s">
        <v>17</v>
      </c>
      <c r="O80" s="3"/>
      <c r="P80">
        <f t="shared" si="1"/>
        <v>1.5423706239966883</v>
      </c>
      <c r="Q80">
        <f t="shared" si="0"/>
        <v>1.5423706239966883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4" x14ac:dyDescent="0.15">
      <c r="A81" s="2">
        <v>45583</v>
      </c>
      <c r="B81" s="3">
        <v>11</v>
      </c>
      <c r="C81" s="3">
        <v>3</v>
      </c>
      <c r="D81" s="3" t="s">
        <v>16</v>
      </c>
      <c r="E81" s="3" t="s">
        <v>31</v>
      </c>
      <c r="F81" s="3">
        <v>4000</v>
      </c>
      <c r="G81" s="3">
        <v>4000</v>
      </c>
      <c r="H81" s="3">
        <v>2</v>
      </c>
      <c r="I81" s="3" t="s">
        <v>25</v>
      </c>
      <c r="J81" s="3">
        <v>7.1</v>
      </c>
      <c r="K81" s="14">
        <v>2.75</v>
      </c>
      <c r="L81" s="14">
        <v>1</v>
      </c>
      <c r="M81" s="14">
        <v>2.75</v>
      </c>
      <c r="N81" s="3" t="s">
        <v>17</v>
      </c>
      <c r="O81" s="3"/>
      <c r="P81">
        <f t="shared" si="1"/>
        <v>1.3683874059800223</v>
      </c>
      <c r="Q81">
        <f t="shared" si="0"/>
        <v>1.3683874059800223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4" x14ac:dyDescent="0.15">
      <c r="A82" s="2">
        <v>45583</v>
      </c>
      <c r="B82" s="3">
        <v>11</v>
      </c>
      <c r="C82" s="3">
        <v>3</v>
      </c>
      <c r="D82" s="3" t="s">
        <v>16</v>
      </c>
      <c r="E82" s="3" t="s">
        <v>31</v>
      </c>
      <c r="F82" s="3">
        <v>4000</v>
      </c>
      <c r="G82" s="3">
        <v>4000</v>
      </c>
      <c r="H82" s="3">
        <v>3</v>
      </c>
      <c r="I82" s="3" t="s">
        <v>25</v>
      </c>
      <c r="J82" s="3">
        <v>8</v>
      </c>
      <c r="K82" s="14">
        <v>2.75</v>
      </c>
      <c r="L82" s="14">
        <v>1</v>
      </c>
      <c r="M82" s="14">
        <v>2.75</v>
      </c>
      <c r="N82" s="3" t="s">
        <v>17</v>
      </c>
      <c r="O82" s="3"/>
      <c r="P82">
        <f t="shared" si="1"/>
        <v>1.5405683813627029</v>
      </c>
      <c r="Q82">
        <f t="shared" si="0"/>
        <v>1.5405683813627029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4" x14ac:dyDescent="0.15">
      <c r="A83" s="2">
        <v>45583</v>
      </c>
      <c r="B83" s="3">
        <v>11</v>
      </c>
      <c r="C83" s="3">
        <v>3</v>
      </c>
      <c r="D83" s="3" t="s">
        <v>16</v>
      </c>
      <c r="E83" s="3" t="s">
        <v>31</v>
      </c>
      <c r="F83" s="3">
        <v>8000</v>
      </c>
      <c r="G83" s="3">
        <v>8000</v>
      </c>
      <c r="H83" s="3">
        <v>1</v>
      </c>
      <c r="I83" s="3" t="s">
        <v>25</v>
      </c>
      <c r="J83" s="3">
        <v>4.87</v>
      </c>
      <c r="K83" s="14">
        <v>2.75</v>
      </c>
      <c r="L83" s="14">
        <v>1</v>
      </c>
      <c r="M83" s="14">
        <v>2.75</v>
      </c>
      <c r="N83" s="3" t="s">
        <v>17</v>
      </c>
      <c r="O83" s="3"/>
      <c r="P83">
        <f t="shared" ref="P83:P91" si="2">LOG(J83/J44,2)</f>
        <v>0.8244901536703203</v>
      </c>
      <c r="Q83">
        <f t="shared" si="0"/>
        <v>0.8244901536703203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4" x14ac:dyDescent="0.15">
      <c r="A84" s="2">
        <v>45583</v>
      </c>
      <c r="B84" s="3">
        <v>11</v>
      </c>
      <c r="C84" s="3">
        <v>3</v>
      </c>
      <c r="D84" s="3" t="s">
        <v>16</v>
      </c>
      <c r="E84" s="3" t="s">
        <v>31</v>
      </c>
      <c r="F84" s="3">
        <v>8000</v>
      </c>
      <c r="G84" s="3">
        <v>8000</v>
      </c>
      <c r="H84" s="3">
        <v>2</v>
      </c>
      <c r="I84" s="3" t="s">
        <v>25</v>
      </c>
      <c r="J84" s="3">
        <v>3.12</v>
      </c>
      <c r="K84" s="14">
        <v>2.75</v>
      </c>
      <c r="L84" s="14">
        <v>1</v>
      </c>
      <c r="M84" s="14">
        <v>2.75</v>
      </c>
      <c r="N84" s="3" t="s">
        <v>17</v>
      </c>
      <c r="O84" s="3"/>
      <c r="P84">
        <f t="shared" si="2"/>
        <v>0.18211441045022636</v>
      </c>
      <c r="Q84">
        <f t="shared" si="0"/>
        <v>0.18211441045022636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4" x14ac:dyDescent="0.15">
      <c r="A85" s="2">
        <v>45583</v>
      </c>
      <c r="B85" s="3">
        <v>11</v>
      </c>
      <c r="C85" s="3">
        <v>3</v>
      </c>
      <c r="D85" s="3" t="s">
        <v>16</v>
      </c>
      <c r="E85" s="3" t="s">
        <v>31</v>
      </c>
      <c r="F85" s="3">
        <v>8000</v>
      </c>
      <c r="G85" s="3">
        <v>8000</v>
      </c>
      <c r="H85" s="3">
        <v>3</v>
      </c>
      <c r="I85" s="3" t="s">
        <v>25</v>
      </c>
      <c r="J85" s="3">
        <v>4.05</v>
      </c>
      <c r="K85" s="14">
        <v>2.75</v>
      </c>
      <c r="L85" s="14">
        <v>1</v>
      </c>
      <c r="M85" s="14">
        <v>2.75</v>
      </c>
      <c r="N85" s="3" t="s">
        <v>17</v>
      </c>
      <c r="O85" s="3"/>
      <c r="P85">
        <f t="shared" si="2"/>
        <v>0.55849028935996503</v>
      </c>
      <c r="Q85">
        <f t="shared" si="0"/>
        <v>0.55849028935996503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4" x14ac:dyDescent="0.15">
      <c r="A86" s="2">
        <v>45583</v>
      </c>
      <c r="B86" s="3">
        <v>11</v>
      </c>
      <c r="C86" s="3">
        <v>3</v>
      </c>
      <c r="D86" s="3" t="s">
        <v>16</v>
      </c>
      <c r="E86" s="3" t="s">
        <v>32</v>
      </c>
      <c r="F86" s="5">
        <v>0.01</v>
      </c>
      <c r="G86" s="5">
        <v>0.01</v>
      </c>
      <c r="H86" s="3">
        <v>1</v>
      </c>
      <c r="I86" s="3" t="s">
        <v>25</v>
      </c>
      <c r="J86" s="3">
        <v>8.09</v>
      </c>
      <c r="K86" s="14">
        <v>2.75</v>
      </c>
      <c r="L86" s="14">
        <v>1</v>
      </c>
      <c r="M86" s="14">
        <v>2.75</v>
      </c>
      <c r="N86" s="3" t="s">
        <v>17</v>
      </c>
      <c r="O86" s="3"/>
      <c r="P86">
        <f t="shared" si="2"/>
        <v>1.5567080840179559</v>
      </c>
      <c r="Q86">
        <f t="shared" si="0"/>
        <v>1.5567080840179559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4" x14ac:dyDescent="0.15">
      <c r="A87" s="2">
        <v>45583</v>
      </c>
      <c r="B87" s="3">
        <v>11</v>
      </c>
      <c r="C87" s="3">
        <v>3</v>
      </c>
      <c r="D87" s="3" t="s">
        <v>16</v>
      </c>
      <c r="E87" s="3" t="s">
        <v>32</v>
      </c>
      <c r="F87" s="5">
        <v>0.01</v>
      </c>
      <c r="G87" s="5">
        <v>0.01</v>
      </c>
      <c r="H87" s="3">
        <v>2</v>
      </c>
      <c r="I87" s="3" t="s">
        <v>25</v>
      </c>
      <c r="J87" s="3">
        <v>7.78</v>
      </c>
      <c r="K87" s="14">
        <v>2.75</v>
      </c>
      <c r="L87" s="14">
        <v>1</v>
      </c>
      <c r="M87" s="14">
        <v>2.75</v>
      </c>
      <c r="N87" s="3" t="s">
        <v>17</v>
      </c>
      <c r="O87" s="3"/>
      <c r="P87">
        <f t="shared" si="2"/>
        <v>1.5003385365741699</v>
      </c>
      <c r="Q87">
        <f t="shared" si="0"/>
        <v>1.5003385365741699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4" x14ac:dyDescent="0.15">
      <c r="A88" s="2">
        <v>45583</v>
      </c>
      <c r="B88" s="3">
        <v>11</v>
      </c>
      <c r="C88" s="3">
        <v>3</v>
      </c>
      <c r="D88" s="3" t="s">
        <v>16</v>
      </c>
      <c r="E88" s="3" t="s">
        <v>32</v>
      </c>
      <c r="F88" s="5">
        <v>0.01</v>
      </c>
      <c r="G88" s="5">
        <v>0.01</v>
      </c>
      <c r="H88" s="3">
        <v>3</v>
      </c>
      <c r="I88" s="3" t="s">
        <v>25</v>
      </c>
      <c r="J88" s="3">
        <v>8.08</v>
      </c>
      <c r="K88" s="14">
        <v>2.75</v>
      </c>
      <c r="L88" s="14">
        <v>1</v>
      </c>
      <c r="M88" s="14">
        <v>2.75</v>
      </c>
      <c r="N88" s="3" t="s">
        <v>17</v>
      </c>
      <c r="O88" s="3"/>
      <c r="P88">
        <f t="shared" si="2"/>
        <v>1.5549236743397727</v>
      </c>
      <c r="Q88">
        <f t="shared" si="0"/>
        <v>1.5549236743397727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4" x14ac:dyDescent="0.15">
      <c r="A89" s="2">
        <v>45586</v>
      </c>
      <c r="B89" s="3">
        <v>14</v>
      </c>
      <c r="C89" s="3">
        <v>6</v>
      </c>
      <c r="D89" s="3" t="s">
        <v>16</v>
      </c>
      <c r="E89" s="3" t="s">
        <v>24</v>
      </c>
      <c r="F89" s="3">
        <v>100</v>
      </c>
      <c r="G89" s="3">
        <v>100</v>
      </c>
      <c r="H89" s="3">
        <v>1</v>
      </c>
      <c r="I89" s="3" t="s">
        <v>25</v>
      </c>
      <c r="J89" s="3">
        <v>5.69</v>
      </c>
      <c r="K89" s="14">
        <v>2.75</v>
      </c>
      <c r="L89" s="14">
        <v>1</v>
      </c>
      <c r="M89" s="14">
        <v>2.75</v>
      </c>
      <c r="N89" s="3" t="s">
        <v>17</v>
      </c>
      <c r="O89" s="3"/>
      <c r="P89">
        <f t="shared" si="2"/>
        <v>3.5940881069113868E-2</v>
      </c>
      <c r="Q89">
        <f t="shared" si="0"/>
        <v>3.5940881069113868E-2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4" x14ac:dyDescent="0.15">
      <c r="A90" s="2">
        <v>45586</v>
      </c>
      <c r="B90" s="3">
        <v>14</v>
      </c>
      <c r="C90" s="3">
        <v>6</v>
      </c>
      <c r="D90" s="3" t="s">
        <v>16</v>
      </c>
      <c r="E90" s="3" t="s">
        <v>24</v>
      </c>
      <c r="F90" s="3">
        <v>100</v>
      </c>
      <c r="G90" s="3">
        <v>100</v>
      </c>
      <c r="H90" s="3">
        <v>2</v>
      </c>
      <c r="I90" s="3" t="s">
        <v>25</v>
      </c>
      <c r="J90" s="3">
        <v>5.52</v>
      </c>
      <c r="K90" s="14">
        <v>2.75</v>
      </c>
      <c r="L90" s="14">
        <v>1</v>
      </c>
      <c r="M90" s="14">
        <v>2.75</v>
      </c>
      <c r="N90" s="3" t="s">
        <v>17</v>
      </c>
      <c r="O90" s="3"/>
      <c r="P90">
        <f t="shared" si="2"/>
        <v>5.3242021276979218E-2</v>
      </c>
      <c r="Q90">
        <f t="shared" si="0"/>
        <v>5.3242021276979218E-2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4" x14ac:dyDescent="0.15">
      <c r="A91" s="2">
        <v>45586</v>
      </c>
      <c r="B91" s="3">
        <v>14</v>
      </c>
      <c r="C91" s="3">
        <v>6</v>
      </c>
      <c r="D91" s="3" t="s">
        <v>16</v>
      </c>
      <c r="E91" s="3" t="s">
        <v>24</v>
      </c>
      <c r="F91" s="3">
        <v>100</v>
      </c>
      <c r="G91" s="3">
        <v>100</v>
      </c>
      <c r="H91" s="3">
        <v>3</v>
      </c>
      <c r="I91" s="3" t="s">
        <v>25</v>
      </c>
      <c r="J91" s="3">
        <v>5.89</v>
      </c>
      <c r="K91" s="14">
        <v>2.75</v>
      </c>
      <c r="L91" s="14">
        <v>1</v>
      </c>
      <c r="M91" s="14">
        <v>2.75</v>
      </c>
      <c r="N91" s="3" t="s">
        <v>17</v>
      </c>
      <c r="O91" s="3"/>
      <c r="P91">
        <f t="shared" si="2"/>
        <v>-1.4622034364845269E-2</v>
      </c>
      <c r="Q91">
        <f t="shared" si="0"/>
        <v>-1.4622034364845269E-2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4" x14ac:dyDescent="0.15">
      <c r="A92" s="2">
        <v>45586</v>
      </c>
      <c r="B92" s="3">
        <v>14</v>
      </c>
      <c r="C92" s="3">
        <v>6</v>
      </c>
      <c r="D92" s="3" t="s">
        <v>16</v>
      </c>
      <c r="E92" s="3" t="s">
        <v>24</v>
      </c>
      <c r="F92" s="3">
        <v>1000</v>
      </c>
      <c r="G92" s="3">
        <v>0</v>
      </c>
      <c r="H92" s="3">
        <v>1</v>
      </c>
      <c r="I92" s="3" t="s">
        <v>25</v>
      </c>
      <c r="J92" s="3">
        <v>1.79</v>
      </c>
      <c r="K92" s="3">
        <v>1.79</v>
      </c>
      <c r="L92" s="3"/>
      <c r="M92" s="3"/>
      <c r="N92" s="3" t="s">
        <v>17</v>
      </c>
      <c r="O92" s="3"/>
      <c r="P92">
        <f>LOG(J92/K53,2)</f>
        <v>-0.61947203114776561</v>
      </c>
      <c r="Q92">
        <f t="shared" si="0"/>
        <v>-0.53788449665150351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4" x14ac:dyDescent="0.15">
      <c r="A93" s="2">
        <v>45586</v>
      </c>
      <c r="B93" s="3">
        <v>14</v>
      </c>
      <c r="C93" s="3">
        <v>6</v>
      </c>
      <c r="D93" s="3" t="s">
        <v>16</v>
      </c>
      <c r="E93" s="3" t="s">
        <v>24</v>
      </c>
      <c r="F93" s="3">
        <v>1000</v>
      </c>
      <c r="G93" s="3">
        <v>0</v>
      </c>
      <c r="H93" s="3">
        <v>2</v>
      </c>
      <c r="I93" s="3" t="s">
        <v>25</v>
      </c>
      <c r="J93" s="3">
        <v>1.39</v>
      </c>
      <c r="K93" s="3">
        <v>1.39</v>
      </c>
      <c r="L93" s="3"/>
      <c r="M93" s="3"/>
      <c r="N93" s="3" t="s">
        <v>17</v>
      </c>
      <c r="O93" s="3"/>
      <c r="P93">
        <f>LOG(J93/K54,2)</f>
        <v>-0.98434673568851483</v>
      </c>
      <c r="Q93">
        <f t="shared" si="0"/>
        <v>-1.2172698245171323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4" x14ac:dyDescent="0.15">
      <c r="A94" s="2">
        <v>45586</v>
      </c>
      <c r="B94" s="3">
        <v>14</v>
      </c>
      <c r="C94" s="3">
        <v>6</v>
      </c>
      <c r="D94" s="3" t="s">
        <v>16</v>
      </c>
      <c r="E94" s="3" t="s">
        <v>24</v>
      </c>
      <c r="F94" s="3">
        <v>1000</v>
      </c>
      <c r="G94" s="3">
        <v>0</v>
      </c>
      <c r="H94" s="3">
        <v>3</v>
      </c>
      <c r="I94" s="3" t="s">
        <v>25</v>
      </c>
      <c r="J94" s="3">
        <v>1.65</v>
      </c>
      <c r="K94" s="3">
        <v>1.65</v>
      </c>
      <c r="L94" s="3"/>
      <c r="M94" s="3"/>
      <c r="N94" s="3" t="s">
        <v>17</v>
      </c>
      <c r="O94" s="3"/>
      <c r="P94">
        <f>LOG(J94/K55,2)</f>
        <v>-0.73696559416620622</v>
      </c>
      <c r="Q94">
        <f>P94+Q55</f>
        <v>-0.94543563927028473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4" x14ac:dyDescent="0.15">
      <c r="A95" s="2">
        <v>45586</v>
      </c>
      <c r="B95" s="3">
        <v>14</v>
      </c>
      <c r="C95" s="3">
        <v>6</v>
      </c>
      <c r="D95" s="3" t="s">
        <v>16</v>
      </c>
      <c r="E95" s="3" t="s">
        <v>27</v>
      </c>
      <c r="F95" s="3">
        <v>1250</v>
      </c>
      <c r="G95" s="3">
        <v>1250</v>
      </c>
      <c r="H95" s="3">
        <v>1</v>
      </c>
      <c r="I95" s="3" t="s">
        <v>25</v>
      </c>
      <c r="J95" s="3">
        <v>4.75</v>
      </c>
      <c r="K95" s="14">
        <v>2.75</v>
      </c>
      <c r="L95" s="14">
        <v>1</v>
      </c>
      <c r="M95" s="14">
        <v>2.75</v>
      </c>
      <c r="N95" s="3" t="s">
        <v>17</v>
      </c>
      <c r="O95" s="3"/>
      <c r="P95">
        <f t="shared" ref="P95:P109" si="3">LOG(J95/J17,2)</f>
        <v>0.78849589480628823</v>
      </c>
      <c r="Q95">
        <f t="shared" si="0"/>
        <v>2.0732253717394014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4" x14ac:dyDescent="0.15">
      <c r="A96" s="2">
        <v>45586</v>
      </c>
      <c r="B96" s="3">
        <v>14</v>
      </c>
      <c r="C96" s="3">
        <v>6</v>
      </c>
      <c r="D96" s="3" t="s">
        <v>16</v>
      </c>
      <c r="E96" s="3" t="s">
        <v>27</v>
      </c>
      <c r="F96" s="3">
        <v>1250</v>
      </c>
      <c r="G96" s="3">
        <v>1250</v>
      </c>
      <c r="H96" s="3">
        <v>2</v>
      </c>
      <c r="I96" s="3" t="s">
        <v>25</v>
      </c>
      <c r="J96" s="3">
        <v>5.67</v>
      </c>
      <c r="K96" s="14">
        <v>2.75</v>
      </c>
      <c r="L96" s="14">
        <v>1</v>
      </c>
      <c r="M96" s="14">
        <v>2.75</v>
      </c>
      <c r="N96" s="3" t="s">
        <v>17</v>
      </c>
      <c r="O96" s="3"/>
      <c r="P96">
        <f t="shared" si="3"/>
        <v>1.043917116530207</v>
      </c>
      <c r="Q96">
        <f t="shared" si="0"/>
        <v>2.436484335005356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4" x14ac:dyDescent="0.15">
      <c r="A97" s="2">
        <v>45586</v>
      </c>
      <c r="B97" s="3">
        <v>14</v>
      </c>
      <c r="C97" s="3">
        <v>6</v>
      </c>
      <c r="D97" s="3" t="s">
        <v>16</v>
      </c>
      <c r="E97" s="3" t="s">
        <v>27</v>
      </c>
      <c r="F97" s="3">
        <v>1250</v>
      </c>
      <c r="G97" s="3">
        <v>1250</v>
      </c>
      <c r="H97" s="3">
        <v>3</v>
      </c>
      <c r="I97" s="3" t="s">
        <v>25</v>
      </c>
      <c r="J97" s="3">
        <v>6.03</v>
      </c>
      <c r="K97" s="14">
        <v>2.75</v>
      </c>
      <c r="L97" s="14">
        <v>1</v>
      </c>
      <c r="M97" s="14">
        <v>2.75</v>
      </c>
      <c r="N97" s="3" t="s">
        <v>17</v>
      </c>
      <c r="O97" s="3"/>
      <c r="P97">
        <f t="shared" si="3"/>
        <v>1.132726383488063</v>
      </c>
      <c r="Q97">
        <f t="shared" si="0"/>
        <v>2.4723820709247692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4" x14ac:dyDescent="0.15">
      <c r="A98" s="2">
        <v>45586</v>
      </c>
      <c r="B98" s="3">
        <v>14</v>
      </c>
      <c r="C98" s="3">
        <v>6</v>
      </c>
      <c r="D98" s="3" t="s">
        <v>16</v>
      </c>
      <c r="E98" s="3" t="s">
        <v>27</v>
      </c>
      <c r="F98" s="3">
        <v>5000</v>
      </c>
      <c r="G98" s="3">
        <v>0</v>
      </c>
      <c r="H98" s="3">
        <v>1</v>
      </c>
      <c r="I98" s="3" t="s">
        <v>25</v>
      </c>
      <c r="J98" s="3">
        <v>0.97799999999999998</v>
      </c>
      <c r="K98" s="3">
        <v>0.97799999999999998</v>
      </c>
      <c r="L98" s="3"/>
      <c r="M98" s="3"/>
      <c r="N98" s="3" t="s">
        <v>17</v>
      </c>
      <c r="O98" s="3"/>
      <c r="P98">
        <f t="shared" si="3"/>
        <v>-1.4915252483471506</v>
      </c>
      <c r="Q98">
        <f t="shared" si="0"/>
        <v>-1.4915252483471506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4" x14ac:dyDescent="0.15">
      <c r="A99" s="2">
        <v>45586</v>
      </c>
      <c r="B99" s="3">
        <v>14</v>
      </c>
      <c r="C99" s="3">
        <v>6</v>
      </c>
      <c r="D99" s="3" t="s">
        <v>16</v>
      </c>
      <c r="E99" s="3" t="s">
        <v>27</v>
      </c>
      <c r="F99" s="3">
        <v>5000</v>
      </c>
      <c r="G99" s="3">
        <v>0</v>
      </c>
      <c r="H99" s="3">
        <v>2</v>
      </c>
      <c r="I99" s="3" t="s">
        <v>25</v>
      </c>
      <c r="J99" s="3">
        <v>0.75900000000000001</v>
      </c>
      <c r="K99" s="3">
        <v>0.75900000000000001</v>
      </c>
      <c r="L99" s="3"/>
      <c r="M99" s="3"/>
      <c r="N99" s="3" t="s">
        <v>17</v>
      </c>
      <c r="O99" s="3"/>
      <c r="P99">
        <f t="shared" si="3"/>
        <v>-1.8572598278839181</v>
      </c>
      <c r="Q99">
        <f t="shared" si="0"/>
        <v>-1.8572598278839181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4" x14ac:dyDescent="0.15">
      <c r="A100" s="2">
        <v>45586</v>
      </c>
      <c r="B100" s="3">
        <v>14</v>
      </c>
      <c r="C100" s="3">
        <v>6</v>
      </c>
      <c r="D100" s="3" t="s">
        <v>16</v>
      </c>
      <c r="E100" s="3" t="s">
        <v>27</v>
      </c>
      <c r="F100" s="3">
        <v>5000</v>
      </c>
      <c r="G100" s="3">
        <v>0</v>
      </c>
      <c r="H100" s="3">
        <v>3</v>
      </c>
      <c r="I100" s="3" t="s">
        <v>25</v>
      </c>
      <c r="J100" s="3">
        <v>1.1599999999999999</v>
      </c>
      <c r="K100" s="3">
        <v>1.1599999999999999</v>
      </c>
      <c r="L100" s="3"/>
      <c r="M100" s="3"/>
      <c r="N100" s="3" t="s">
        <v>17</v>
      </c>
      <c r="O100" s="3"/>
      <c r="P100">
        <f t="shared" si="3"/>
        <v>-1.2453068132844498</v>
      </c>
      <c r="Q100">
        <f t="shared" si="0"/>
        <v>-1.2453068132844498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4" x14ac:dyDescent="0.15">
      <c r="A101" s="2">
        <v>45586</v>
      </c>
      <c r="B101" s="3">
        <v>14</v>
      </c>
      <c r="C101" s="3">
        <v>6</v>
      </c>
      <c r="D101" s="3" t="s">
        <v>16</v>
      </c>
      <c r="E101" s="3" t="s">
        <v>28</v>
      </c>
      <c r="F101" s="3">
        <v>1500</v>
      </c>
      <c r="G101" s="3">
        <v>1500</v>
      </c>
      <c r="H101" s="3">
        <v>1</v>
      </c>
      <c r="I101" s="3" t="s">
        <v>25</v>
      </c>
      <c r="J101" s="3">
        <v>4.72</v>
      </c>
      <c r="K101" s="14">
        <v>2.75</v>
      </c>
      <c r="L101" s="14">
        <v>1</v>
      </c>
      <c r="M101" s="14">
        <v>2.75</v>
      </c>
      <c r="N101" s="3" t="s">
        <v>17</v>
      </c>
      <c r="O101" s="3"/>
      <c r="P101">
        <f t="shared" si="3"/>
        <v>0.77935524094981934</v>
      </c>
      <c r="Q101">
        <f t="shared" si="0"/>
        <v>1.8781912563682579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4" x14ac:dyDescent="0.15">
      <c r="A102" s="2">
        <v>45586</v>
      </c>
      <c r="B102" s="3">
        <v>14</v>
      </c>
      <c r="C102" s="3">
        <v>6</v>
      </c>
      <c r="D102" s="3" t="s">
        <v>16</v>
      </c>
      <c r="E102" s="3" t="s">
        <v>28</v>
      </c>
      <c r="F102" s="3">
        <v>1500</v>
      </c>
      <c r="G102" s="3">
        <v>1500</v>
      </c>
      <c r="H102" s="3">
        <v>2</v>
      </c>
      <c r="I102" s="3" t="s">
        <v>25</v>
      </c>
      <c r="J102" s="3">
        <v>4.13</v>
      </c>
      <c r="K102" s="14">
        <v>2.75</v>
      </c>
      <c r="L102" s="14">
        <v>1</v>
      </c>
      <c r="M102" s="14">
        <v>2.75</v>
      </c>
      <c r="N102" s="3" t="s">
        <v>17</v>
      </c>
      <c r="O102" s="3"/>
      <c r="P102">
        <f t="shared" si="3"/>
        <v>0.58671016300742329</v>
      </c>
      <c r="Q102">
        <f t="shared" si="0"/>
        <v>1.3568664671107782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4" x14ac:dyDescent="0.15">
      <c r="A103" s="2">
        <v>45586</v>
      </c>
      <c r="B103" s="3">
        <v>14</v>
      </c>
      <c r="C103" s="3">
        <v>6</v>
      </c>
      <c r="D103" s="3" t="s">
        <v>16</v>
      </c>
      <c r="E103" s="3" t="s">
        <v>28</v>
      </c>
      <c r="F103" s="3">
        <v>1500</v>
      </c>
      <c r="G103" s="3">
        <v>1500</v>
      </c>
      <c r="H103" s="3">
        <v>3</v>
      </c>
      <c r="I103" s="3" t="s">
        <v>25</v>
      </c>
      <c r="J103" s="3">
        <v>5.26</v>
      </c>
      <c r="K103" s="14">
        <v>2.75</v>
      </c>
      <c r="L103" s="14">
        <v>1</v>
      </c>
      <c r="M103" s="14">
        <v>2.75</v>
      </c>
      <c r="N103" s="3" t="s">
        <v>17</v>
      </c>
      <c r="O103" s="3"/>
      <c r="P103">
        <f t="shared" si="3"/>
        <v>0.93563118088028041</v>
      </c>
      <c r="Q103">
        <f t="shared" si="0"/>
        <v>2.0196954456687548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4" x14ac:dyDescent="0.15">
      <c r="A104" s="2">
        <v>45586</v>
      </c>
      <c r="B104" s="3">
        <v>14</v>
      </c>
      <c r="C104" s="3">
        <v>6</v>
      </c>
      <c r="D104" s="3" t="s">
        <v>16</v>
      </c>
      <c r="E104" s="3" t="s">
        <v>28</v>
      </c>
      <c r="F104" s="3">
        <v>5000</v>
      </c>
      <c r="G104" s="3">
        <v>0</v>
      </c>
      <c r="H104" s="3">
        <v>1</v>
      </c>
      <c r="I104" s="3" t="s">
        <v>25</v>
      </c>
      <c r="J104" s="3">
        <v>1.43</v>
      </c>
      <c r="K104" s="3">
        <v>1.43</v>
      </c>
      <c r="L104" s="3"/>
      <c r="M104" s="3"/>
      <c r="N104" s="3" t="s">
        <v>17</v>
      </c>
      <c r="O104" s="3"/>
      <c r="P104">
        <f t="shared" si="3"/>
        <v>-0.9434164716336324</v>
      </c>
      <c r="Q104">
        <f t="shared" si="0"/>
        <v>-0.9434164716336324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4" x14ac:dyDescent="0.15">
      <c r="A105" s="2">
        <v>45586</v>
      </c>
      <c r="B105" s="3">
        <v>14</v>
      </c>
      <c r="C105" s="3">
        <v>6</v>
      </c>
      <c r="D105" s="3" t="s">
        <v>16</v>
      </c>
      <c r="E105" s="3" t="s">
        <v>28</v>
      </c>
      <c r="F105" s="3">
        <v>5000</v>
      </c>
      <c r="G105" s="3">
        <v>0</v>
      </c>
      <c r="H105" s="3">
        <v>2</v>
      </c>
      <c r="I105" s="3" t="s">
        <v>25</v>
      </c>
      <c r="J105" s="3">
        <v>1.2</v>
      </c>
      <c r="K105" s="3">
        <v>1.2</v>
      </c>
      <c r="L105" s="3"/>
      <c r="M105" s="3"/>
      <c r="N105" s="3" t="s">
        <v>17</v>
      </c>
      <c r="O105" s="3"/>
      <c r="P105">
        <f t="shared" si="3"/>
        <v>-1.1963972128035034</v>
      </c>
      <c r="Q105">
        <f t="shared" si="0"/>
        <v>-1.1963972128035034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4" x14ac:dyDescent="0.15">
      <c r="A106" s="2">
        <v>45586</v>
      </c>
      <c r="B106" s="3">
        <v>14</v>
      </c>
      <c r="C106" s="3">
        <v>6</v>
      </c>
      <c r="D106" s="3" t="s">
        <v>16</v>
      </c>
      <c r="E106" s="3" t="s">
        <v>28</v>
      </c>
      <c r="F106" s="3">
        <v>5000</v>
      </c>
      <c r="G106" s="3">
        <v>0</v>
      </c>
      <c r="H106" s="3">
        <v>3</v>
      </c>
      <c r="I106" s="3" t="s">
        <v>25</v>
      </c>
      <c r="J106" s="3">
        <v>1.25</v>
      </c>
      <c r="K106" s="3">
        <v>1.25</v>
      </c>
      <c r="L106" s="3"/>
      <c r="M106" s="3"/>
      <c r="N106" s="3" t="s">
        <v>17</v>
      </c>
      <c r="O106" s="3"/>
      <c r="P106">
        <f t="shared" si="3"/>
        <v>-1.1375035237499349</v>
      </c>
      <c r="Q106">
        <f t="shared" si="0"/>
        <v>-1.1375035237499349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4" x14ac:dyDescent="0.15">
      <c r="A107" s="2">
        <v>45586</v>
      </c>
      <c r="B107" s="3">
        <v>14</v>
      </c>
      <c r="C107" s="3">
        <v>6</v>
      </c>
      <c r="D107" s="3" t="s">
        <v>16</v>
      </c>
      <c r="E107" s="3" t="s">
        <v>29</v>
      </c>
      <c r="F107" s="3">
        <v>1000</v>
      </c>
      <c r="G107" s="3">
        <v>0</v>
      </c>
      <c r="H107" s="3">
        <v>1</v>
      </c>
      <c r="I107" s="3" t="s">
        <v>25</v>
      </c>
      <c r="J107" s="3">
        <v>0.98399999999999999</v>
      </c>
      <c r="K107" s="3">
        <v>0.98399999999999999</v>
      </c>
      <c r="L107" s="3"/>
      <c r="M107" s="3"/>
      <c r="N107" s="3" t="s">
        <v>17</v>
      </c>
      <c r="O107" s="3"/>
      <c r="P107">
        <f t="shared" si="3"/>
        <v>-1.4827013979601447</v>
      </c>
      <c r="Q107">
        <f t="shared" si="0"/>
        <v>-1.8046294928475071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4" x14ac:dyDescent="0.15">
      <c r="A108" s="2">
        <v>45586</v>
      </c>
      <c r="B108" s="3">
        <v>14</v>
      </c>
      <c r="C108" s="3">
        <v>6</v>
      </c>
      <c r="D108" s="3" t="s">
        <v>16</v>
      </c>
      <c r="E108" s="3" t="s">
        <v>29</v>
      </c>
      <c r="F108" s="3">
        <v>1000</v>
      </c>
      <c r="G108" s="3">
        <v>0</v>
      </c>
      <c r="H108" s="3">
        <v>2</v>
      </c>
      <c r="I108" s="3" t="s">
        <v>25</v>
      </c>
      <c r="J108" s="3">
        <v>0.67500000000000004</v>
      </c>
      <c r="K108" s="3">
        <v>0.67500000000000004</v>
      </c>
      <c r="L108" s="3"/>
      <c r="M108" s="3"/>
      <c r="N108" s="3" t="s">
        <v>17</v>
      </c>
      <c r="O108" s="3"/>
      <c r="P108">
        <f t="shared" si="3"/>
        <v>-2.0264722113611908</v>
      </c>
      <c r="Q108">
        <f t="shared" si="0"/>
        <v>-3.3353441534231063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4" x14ac:dyDescent="0.15">
      <c r="A109" s="2">
        <v>45586</v>
      </c>
      <c r="B109" s="3">
        <v>14</v>
      </c>
      <c r="C109" s="3">
        <v>6</v>
      </c>
      <c r="D109" s="3" t="s">
        <v>16</v>
      </c>
      <c r="E109" s="3" t="s">
        <v>29</v>
      </c>
      <c r="F109" s="3">
        <v>1000</v>
      </c>
      <c r="G109" s="3">
        <v>0</v>
      </c>
      <c r="H109" s="3">
        <v>3</v>
      </c>
      <c r="I109" s="3" t="s">
        <v>25</v>
      </c>
      <c r="J109" s="3">
        <v>1.17</v>
      </c>
      <c r="K109" s="3">
        <v>1.17</v>
      </c>
      <c r="L109" s="3"/>
      <c r="M109" s="3"/>
      <c r="N109" s="3" t="s">
        <v>17</v>
      </c>
      <c r="O109" s="3"/>
      <c r="P109">
        <f t="shared" si="3"/>
        <v>-1.2329230888286176</v>
      </c>
      <c r="Q109">
        <f t="shared" si="0"/>
        <v>-1.7739684730195671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4" x14ac:dyDescent="0.15">
      <c r="A110" s="2">
        <v>45586</v>
      </c>
      <c r="B110" s="3">
        <v>14</v>
      </c>
      <c r="C110" s="3">
        <v>6</v>
      </c>
      <c r="D110" s="3" t="s">
        <v>16</v>
      </c>
      <c r="E110" s="3" t="s">
        <v>29</v>
      </c>
      <c r="F110" s="3">
        <v>2500</v>
      </c>
      <c r="G110" s="3">
        <v>0</v>
      </c>
      <c r="H110" s="3">
        <v>1</v>
      </c>
      <c r="I110" s="3" t="s">
        <v>25</v>
      </c>
      <c r="J110" s="3">
        <v>1.24</v>
      </c>
      <c r="K110" s="3">
        <v>1.24</v>
      </c>
      <c r="L110" s="3"/>
      <c r="M110" s="3"/>
      <c r="N110" s="3" t="s">
        <v>17</v>
      </c>
      <c r="O110" s="3"/>
      <c r="Q110">
        <f t="shared" si="0"/>
        <v>0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4" x14ac:dyDescent="0.15">
      <c r="A111" s="2">
        <v>45586</v>
      </c>
      <c r="B111" s="3">
        <v>14</v>
      </c>
      <c r="C111" s="3">
        <v>6</v>
      </c>
      <c r="D111" s="3" t="s">
        <v>16</v>
      </c>
      <c r="E111" s="3" t="s">
        <v>29</v>
      </c>
      <c r="F111" s="3">
        <v>2500</v>
      </c>
      <c r="G111" s="3">
        <v>0</v>
      </c>
      <c r="H111" s="3">
        <v>2</v>
      </c>
      <c r="I111" s="3" t="s">
        <v>25</v>
      </c>
      <c r="J111" s="3">
        <v>0.8</v>
      </c>
      <c r="K111" s="3">
        <v>0.8</v>
      </c>
      <c r="L111" s="3"/>
      <c r="M111" s="3"/>
      <c r="N111" s="3" t="s">
        <v>17</v>
      </c>
      <c r="O111" s="3"/>
      <c r="Q111">
        <f t="shared" si="0"/>
        <v>0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4" x14ac:dyDescent="0.15">
      <c r="A112" s="2">
        <v>45586</v>
      </c>
      <c r="B112" s="3">
        <v>14</v>
      </c>
      <c r="C112" s="3">
        <v>6</v>
      </c>
      <c r="D112" s="3" t="s">
        <v>16</v>
      </c>
      <c r="E112" s="3" t="s">
        <v>29</v>
      </c>
      <c r="F112" s="3">
        <v>2500</v>
      </c>
      <c r="G112" s="3">
        <v>0</v>
      </c>
      <c r="H112" s="3">
        <v>3</v>
      </c>
      <c r="I112" s="3" t="s">
        <v>25</v>
      </c>
      <c r="J112" s="3">
        <v>0.94699999999999995</v>
      </c>
      <c r="K112" s="3">
        <v>0.94699999999999995</v>
      </c>
      <c r="L112" s="3"/>
      <c r="M112" s="3"/>
      <c r="N112" s="3" t="s">
        <v>17</v>
      </c>
      <c r="O112" s="3"/>
      <c r="Q112">
        <f t="shared" si="0"/>
        <v>0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4" x14ac:dyDescent="0.15">
      <c r="A113" s="2">
        <v>45586</v>
      </c>
      <c r="B113" s="3">
        <v>14</v>
      </c>
      <c r="C113" s="3">
        <v>6</v>
      </c>
      <c r="D113" s="3" t="s">
        <v>16</v>
      </c>
      <c r="E113" s="3" t="s">
        <v>30</v>
      </c>
      <c r="F113" s="3">
        <v>2000</v>
      </c>
      <c r="G113" s="3">
        <v>2000</v>
      </c>
      <c r="H113" s="3">
        <v>1</v>
      </c>
      <c r="I113" s="3" t="s">
        <v>25</v>
      </c>
      <c r="J113" s="3">
        <v>3.62</v>
      </c>
      <c r="K113" s="14">
        <v>2.75</v>
      </c>
      <c r="L113" s="14">
        <v>1</v>
      </c>
      <c r="M113" s="14">
        <v>2.75</v>
      </c>
      <c r="N113" s="3" t="s">
        <v>17</v>
      </c>
      <c r="O113" s="3"/>
      <c r="P113">
        <f t="shared" ref="P113:P121" si="4">LOG(J113/J35,2)</f>
        <v>0.39655807867118348</v>
      </c>
      <c r="Q113">
        <f t="shared" si="0"/>
        <v>1.2932702702591614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4" x14ac:dyDescent="0.15">
      <c r="A114" s="2">
        <v>45586</v>
      </c>
      <c r="B114" s="3">
        <v>14</v>
      </c>
      <c r="C114" s="3">
        <v>6</v>
      </c>
      <c r="D114" s="3" t="s">
        <v>16</v>
      </c>
      <c r="E114" s="3" t="s">
        <v>30</v>
      </c>
      <c r="F114" s="3">
        <v>2000</v>
      </c>
      <c r="G114" s="3">
        <v>2000</v>
      </c>
      <c r="H114" s="3">
        <v>2</v>
      </c>
      <c r="I114" s="3" t="s">
        <v>25</v>
      </c>
      <c r="J114" s="3">
        <v>3.71</v>
      </c>
      <c r="K114" s="14">
        <v>2.75</v>
      </c>
      <c r="L114" s="14">
        <v>1</v>
      </c>
      <c r="M114" s="14">
        <v>2.75</v>
      </c>
      <c r="N114" s="3" t="s">
        <v>17</v>
      </c>
      <c r="O114" s="3"/>
      <c r="P114">
        <f t="shared" si="4"/>
        <v>0.43198756820878137</v>
      </c>
      <c r="Q114">
        <f t="shared" si="0"/>
        <v>1.5061192977859958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4" x14ac:dyDescent="0.15">
      <c r="A115" s="2">
        <v>45586</v>
      </c>
      <c r="B115" s="3">
        <v>14</v>
      </c>
      <c r="C115" s="3">
        <v>6</v>
      </c>
      <c r="D115" s="3" t="s">
        <v>16</v>
      </c>
      <c r="E115" s="3" t="s">
        <v>30</v>
      </c>
      <c r="F115" s="3">
        <v>2000</v>
      </c>
      <c r="G115" s="3">
        <v>2000</v>
      </c>
      <c r="H115" s="3">
        <v>3</v>
      </c>
      <c r="I115" s="3" t="s">
        <v>25</v>
      </c>
      <c r="J115" s="3">
        <v>3.51</v>
      </c>
      <c r="K115" s="14">
        <v>2.75</v>
      </c>
      <c r="L115" s="14">
        <v>1</v>
      </c>
      <c r="M115" s="14">
        <v>2.75</v>
      </c>
      <c r="N115" s="3" t="s">
        <v>17</v>
      </c>
      <c r="O115" s="3"/>
      <c r="P115">
        <f t="shared" si="4"/>
        <v>0.35203941189253879</v>
      </c>
      <c r="Q115">
        <f t="shared" si="0"/>
        <v>1.4261711414697533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4" x14ac:dyDescent="0.15">
      <c r="A116" s="2">
        <v>45586</v>
      </c>
      <c r="B116" s="3">
        <v>14</v>
      </c>
      <c r="C116" s="3">
        <v>6</v>
      </c>
      <c r="D116" s="3" t="s">
        <v>16</v>
      </c>
      <c r="E116" s="3" t="s">
        <v>30</v>
      </c>
      <c r="F116" s="3">
        <v>15000</v>
      </c>
      <c r="G116" s="3">
        <v>0</v>
      </c>
      <c r="H116" s="3">
        <v>1</v>
      </c>
      <c r="I116" s="3" t="s">
        <v>25</v>
      </c>
      <c r="J116" s="3">
        <v>1.77</v>
      </c>
      <c r="K116" s="3">
        <v>1.77</v>
      </c>
      <c r="L116" s="3"/>
      <c r="M116" s="3"/>
      <c r="N116" s="3" t="s">
        <v>17</v>
      </c>
      <c r="O116" s="3"/>
      <c r="P116">
        <f t="shared" si="4"/>
        <v>-0.63568225832902447</v>
      </c>
      <c r="Q116">
        <f t="shared" si="0"/>
        <v>-0.63568225832902447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4" x14ac:dyDescent="0.15">
      <c r="A117" s="2">
        <v>45586</v>
      </c>
      <c r="B117" s="3">
        <v>14</v>
      </c>
      <c r="C117" s="3">
        <v>6</v>
      </c>
      <c r="D117" s="3" t="s">
        <v>16</v>
      </c>
      <c r="E117" s="3" t="s">
        <v>30</v>
      </c>
      <c r="F117" s="3">
        <v>15000</v>
      </c>
      <c r="G117" s="3">
        <v>0</v>
      </c>
      <c r="H117" s="3">
        <v>2</v>
      </c>
      <c r="I117" s="3" t="s">
        <v>25</v>
      </c>
      <c r="J117" s="3">
        <v>2.81</v>
      </c>
      <c r="K117" s="3">
        <v>2.81</v>
      </c>
      <c r="L117" s="3"/>
      <c r="M117" s="3"/>
      <c r="N117" s="3" t="s">
        <v>17</v>
      </c>
      <c r="O117" s="3"/>
      <c r="P117">
        <f t="shared" si="4"/>
        <v>3.1138511808904031E-2</v>
      </c>
      <c r="Q117">
        <f t="shared" si="0"/>
        <v>3.1138511808904031E-2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4" x14ac:dyDescent="0.15">
      <c r="A118" s="2">
        <v>45586</v>
      </c>
      <c r="B118" s="3">
        <v>14</v>
      </c>
      <c r="C118" s="3">
        <v>6</v>
      </c>
      <c r="D118" s="3" t="s">
        <v>16</v>
      </c>
      <c r="E118" s="3" t="s">
        <v>30</v>
      </c>
      <c r="F118" s="3">
        <v>15000</v>
      </c>
      <c r="G118" s="3">
        <v>0</v>
      </c>
      <c r="H118" s="3">
        <v>3</v>
      </c>
      <c r="I118" s="3" t="s">
        <v>25</v>
      </c>
      <c r="J118" s="3">
        <v>2.4300000000000002</v>
      </c>
      <c r="K118" s="3">
        <v>2.4300000000000002</v>
      </c>
      <c r="L118" s="3"/>
      <c r="M118" s="3"/>
      <c r="N118" s="3" t="s">
        <v>17</v>
      </c>
      <c r="O118" s="3"/>
      <c r="P118">
        <f t="shared" si="4"/>
        <v>-0.17847530480624102</v>
      </c>
      <c r="Q118">
        <f t="shared" ref="Q118:Q181" si="5">P118+Q79</f>
        <v>-0.17847530480624102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4" x14ac:dyDescent="0.15">
      <c r="A119" s="2">
        <v>45586</v>
      </c>
      <c r="B119" s="3">
        <v>14</v>
      </c>
      <c r="C119" s="3">
        <v>6</v>
      </c>
      <c r="D119" s="3" t="s">
        <v>16</v>
      </c>
      <c r="E119" s="3" t="s">
        <v>31</v>
      </c>
      <c r="F119" s="3">
        <v>4000</v>
      </c>
      <c r="G119" s="3">
        <v>4000</v>
      </c>
      <c r="H119" s="3">
        <v>1</v>
      </c>
      <c r="I119" s="3" t="s">
        <v>25</v>
      </c>
      <c r="J119" s="3">
        <v>3.89</v>
      </c>
      <c r="K119" s="14">
        <v>2.75</v>
      </c>
      <c r="L119" s="14">
        <v>1</v>
      </c>
      <c r="M119" s="14">
        <v>2.75</v>
      </c>
      <c r="N119" s="3" t="s">
        <v>17</v>
      </c>
      <c r="O119" s="3"/>
      <c r="P119">
        <f t="shared" si="4"/>
        <v>0.50033853657416993</v>
      </c>
      <c r="Q119">
        <f t="shared" si="5"/>
        <v>2.0427091605708583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" x14ac:dyDescent="0.15">
      <c r="A120" s="2">
        <v>45586</v>
      </c>
      <c r="B120" s="3">
        <v>14</v>
      </c>
      <c r="C120" s="3">
        <v>6</v>
      </c>
      <c r="D120" s="3" t="s">
        <v>16</v>
      </c>
      <c r="E120" s="3" t="s">
        <v>31</v>
      </c>
      <c r="F120" s="3">
        <v>4000</v>
      </c>
      <c r="G120" s="3">
        <v>4000</v>
      </c>
      <c r="H120" s="3">
        <v>2</v>
      </c>
      <c r="I120" s="3" t="s">
        <v>25</v>
      </c>
      <c r="J120" s="3">
        <v>4.24</v>
      </c>
      <c r="K120" s="14">
        <v>2.75</v>
      </c>
      <c r="L120" s="14">
        <v>1</v>
      </c>
      <c r="M120" s="14">
        <v>2.75</v>
      </c>
      <c r="N120" s="3" t="s">
        <v>17</v>
      </c>
      <c r="O120" s="3"/>
      <c r="P120">
        <f t="shared" si="4"/>
        <v>0.62463264615117742</v>
      </c>
      <c r="Q120">
        <f t="shared" si="5"/>
        <v>1.9930200521311998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4" x14ac:dyDescent="0.15">
      <c r="A121" s="2">
        <v>45586</v>
      </c>
      <c r="B121" s="3">
        <v>14</v>
      </c>
      <c r="C121" s="3">
        <v>6</v>
      </c>
      <c r="D121" s="3" t="s">
        <v>16</v>
      </c>
      <c r="E121" s="3" t="s">
        <v>31</v>
      </c>
      <c r="F121" s="3">
        <v>4000</v>
      </c>
      <c r="G121" s="3">
        <v>4000</v>
      </c>
      <c r="H121" s="3">
        <v>3</v>
      </c>
      <c r="I121" s="3" t="s">
        <v>25</v>
      </c>
      <c r="J121" s="3">
        <v>3.72</v>
      </c>
      <c r="K121" s="14">
        <v>2.75</v>
      </c>
      <c r="L121" s="14">
        <v>1</v>
      </c>
      <c r="M121" s="14">
        <v>2.75</v>
      </c>
      <c r="N121" s="3" t="s">
        <v>17</v>
      </c>
      <c r="O121" s="3"/>
      <c r="P121">
        <f t="shared" si="4"/>
        <v>0.43587100269600948</v>
      </c>
      <c r="Q121">
        <f t="shared" si="5"/>
        <v>1.9764393840587124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4" x14ac:dyDescent="0.15">
      <c r="A122" s="2">
        <v>45586</v>
      </c>
      <c r="B122" s="3">
        <v>14</v>
      </c>
      <c r="C122" s="3">
        <v>6</v>
      </c>
      <c r="D122" s="3" t="s">
        <v>16</v>
      </c>
      <c r="E122" s="3" t="s">
        <v>31</v>
      </c>
      <c r="F122" s="3">
        <v>8000</v>
      </c>
      <c r="G122" s="3">
        <v>0</v>
      </c>
      <c r="H122" s="3">
        <v>1</v>
      </c>
      <c r="I122" s="3" t="s">
        <v>25</v>
      </c>
      <c r="J122" s="3">
        <v>3.68</v>
      </c>
      <c r="K122" s="3">
        <v>3.68</v>
      </c>
      <c r="L122" s="3"/>
      <c r="M122" s="3"/>
      <c r="N122" s="3" t="s">
        <v>17</v>
      </c>
      <c r="O122" s="3"/>
      <c r="P122">
        <f t="shared" ref="P122:P136" si="6">LOG(J122/K83,2)</f>
        <v>0.42027414764499088</v>
      </c>
      <c r="Q122">
        <f t="shared" si="5"/>
        <v>1.2447643013153111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4" x14ac:dyDescent="0.15">
      <c r="A123" s="2">
        <v>45586</v>
      </c>
      <c r="B123" s="3">
        <v>14</v>
      </c>
      <c r="C123" s="3">
        <v>6</v>
      </c>
      <c r="D123" s="3" t="s">
        <v>16</v>
      </c>
      <c r="E123" s="3" t="s">
        <v>31</v>
      </c>
      <c r="F123" s="3">
        <v>8000</v>
      </c>
      <c r="G123" s="3">
        <v>0</v>
      </c>
      <c r="H123" s="3">
        <v>2</v>
      </c>
      <c r="I123" s="3" t="s">
        <v>25</v>
      </c>
      <c r="J123" s="3">
        <v>0.99399999999999999</v>
      </c>
      <c r="K123" s="3">
        <v>0.99399999999999999</v>
      </c>
      <c r="L123" s="3"/>
      <c r="M123" s="3"/>
      <c r="N123" s="3" t="s">
        <v>17</v>
      </c>
      <c r="O123" s="3"/>
      <c r="P123">
        <f t="shared" si="6"/>
        <v>-1.4681138617370979</v>
      </c>
      <c r="Q123">
        <f t="shared" si="5"/>
        <v>-1.2859994512868715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4" x14ac:dyDescent="0.15">
      <c r="A124" s="2">
        <v>45586</v>
      </c>
      <c r="B124" s="3">
        <v>14</v>
      </c>
      <c r="C124" s="3">
        <v>6</v>
      </c>
      <c r="D124" s="3" t="s">
        <v>16</v>
      </c>
      <c r="E124" s="3" t="s">
        <v>31</v>
      </c>
      <c r="F124" s="3">
        <v>8000</v>
      </c>
      <c r="G124" s="3">
        <v>0</v>
      </c>
      <c r="H124" s="3">
        <v>3</v>
      </c>
      <c r="I124" s="3" t="s">
        <v>25</v>
      </c>
      <c r="J124" s="3">
        <v>2.2000000000000002</v>
      </c>
      <c r="K124" s="3">
        <v>2.2000000000000002</v>
      </c>
      <c r="L124" s="3"/>
      <c r="M124" s="3"/>
      <c r="N124" s="3" t="s">
        <v>17</v>
      </c>
      <c r="O124" s="3"/>
      <c r="P124">
        <f t="shared" si="6"/>
        <v>-0.32192809488736229</v>
      </c>
      <c r="Q124">
        <f t="shared" si="5"/>
        <v>0.23656219447260274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4" x14ac:dyDescent="0.15">
      <c r="A125" s="2">
        <v>45586</v>
      </c>
      <c r="B125" s="3">
        <v>14</v>
      </c>
      <c r="C125" s="3">
        <v>6</v>
      </c>
      <c r="D125" s="3" t="s">
        <v>16</v>
      </c>
      <c r="E125" s="3" t="s">
        <v>32</v>
      </c>
      <c r="F125" s="5">
        <v>0.01</v>
      </c>
      <c r="G125" s="5">
        <v>0.01</v>
      </c>
      <c r="H125" s="3">
        <v>1</v>
      </c>
      <c r="I125" s="3" t="s">
        <v>25</v>
      </c>
      <c r="J125" s="3">
        <v>6.12</v>
      </c>
      <c r="K125" s="14">
        <v>2.75</v>
      </c>
      <c r="L125" s="14">
        <v>1</v>
      </c>
      <c r="M125" s="14">
        <v>2.75</v>
      </c>
      <c r="N125" s="3" t="s">
        <v>17</v>
      </c>
      <c r="O125" s="3"/>
      <c r="P125">
        <f t="shared" si="6"/>
        <v>1.15410003428063</v>
      </c>
      <c r="Q125">
        <f t="shared" si="5"/>
        <v>2.7108081182985861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4" x14ac:dyDescent="0.15">
      <c r="A126" s="2">
        <v>45586</v>
      </c>
      <c r="B126" s="3">
        <v>14</v>
      </c>
      <c r="C126" s="3">
        <v>6</v>
      </c>
      <c r="D126" s="3" t="s">
        <v>16</v>
      </c>
      <c r="E126" s="3" t="s">
        <v>32</v>
      </c>
      <c r="F126" s="5">
        <v>0.01</v>
      </c>
      <c r="G126" s="5">
        <v>0.01</v>
      </c>
      <c r="H126" s="3">
        <v>2</v>
      </c>
      <c r="I126" s="3" t="s">
        <v>25</v>
      </c>
      <c r="J126" s="3">
        <v>6.71</v>
      </c>
      <c r="K126" s="14">
        <v>2.75</v>
      </c>
      <c r="L126" s="14">
        <v>1</v>
      </c>
      <c r="M126" s="14">
        <v>2.75</v>
      </c>
      <c r="N126" s="3" t="s">
        <v>17</v>
      </c>
      <c r="O126" s="3"/>
      <c r="P126">
        <f t="shared" si="6"/>
        <v>1.2868811477881617</v>
      </c>
      <c r="Q126">
        <f t="shared" si="5"/>
        <v>2.7872196843623316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4" x14ac:dyDescent="0.15">
      <c r="A127" s="2">
        <v>45586</v>
      </c>
      <c r="B127" s="3">
        <v>14</v>
      </c>
      <c r="C127" s="3">
        <v>6</v>
      </c>
      <c r="D127" s="3" t="s">
        <v>16</v>
      </c>
      <c r="E127" s="3" t="s">
        <v>32</v>
      </c>
      <c r="F127" s="5">
        <v>0.01</v>
      </c>
      <c r="G127" s="5">
        <v>0.01</v>
      </c>
      <c r="H127" s="3">
        <v>3</v>
      </c>
      <c r="I127" s="3" t="s">
        <v>25</v>
      </c>
      <c r="J127" s="3">
        <v>7.35</v>
      </c>
      <c r="K127" s="14">
        <v>2.75</v>
      </c>
      <c r="L127" s="14">
        <v>1</v>
      </c>
      <c r="M127" s="14">
        <v>2.75</v>
      </c>
      <c r="N127" s="3" t="s">
        <v>17</v>
      </c>
      <c r="O127" s="3"/>
      <c r="P127">
        <f t="shared" si="6"/>
        <v>1.4183126313117047</v>
      </c>
      <c r="Q127">
        <f t="shared" si="5"/>
        <v>2.9732363056514775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4" x14ac:dyDescent="0.15">
      <c r="A128" s="2">
        <v>45589</v>
      </c>
      <c r="B128" s="3">
        <v>17</v>
      </c>
      <c r="C128" s="3">
        <v>9</v>
      </c>
      <c r="D128" s="3" t="s">
        <v>16</v>
      </c>
      <c r="E128" s="3" t="s">
        <v>24</v>
      </c>
      <c r="F128" s="3">
        <v>100</v>
      </c>
      <c r="G128" s="3">
        <v>100</v>
      </c>
      <c r="H128" s="3">
        <v>1</v>
      </c>
      <c r="I128" s="3" t="s">
        <v>25</v>
      </c>
      <c r="J128" s="3">
        <v>6.23</v>
      </c>
      <c r="K128" s="14">
        <v>2.75</v>
      </c>
      <c r="L128" s="14">
        <v>1</v>
      </c>
      <c r="M128" s="14">
        <v>2.75</v>
      </c>
      <c r="N128" s="3" t="s">
        <v>17</v>
      </c>
      <c r="O128" s="3"/>
      <c r="P128">
        <f t="shared" si="6"/>
        <v>1.1798005446119801</v>
      </c>
      <c r="Q128">
        <f t="shared" si="5"/>
        <v>1.2157414256810941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4" x14ac:dyDescent="0.15">
      <c r="A129" s="2">
        <v>45589</v>
      </c>
      <c r="B129" s="3">
        <v>17</v>
      </c>
      <c r="C129" s="3">
        <v>9</v>
      </c>
      <c r="D129" s="3" t="s">
        <v>16</v>
      </c>
      <c r="E129" s="3" t="s">
        <v>24</v>
      </c>
      <c r="F129" s="3">
        <v>100</v>
      </c>
      <c r="G129" s="3">
        <v>100</v>
      </c>
      <c r="H129" s="3">
        <v>2</v>
      </c>
      <c r="I129" s="3" t="s">
        <v>25</v>
      </c>
      <c r="J129" s="3">
        <v>7.19</v>
      </c>
      <c r="K129" s="14">
        <v>2.75</v>
      </c>
      <c r="L129" s="14">
        <v>1</v>
      </c>
      <c r="M129" s="14">
        <v>2.75</v>
      </c>
      <c r="N129" s="3" t="s">
        <v>17</v>
      </c>
      <c r="O129" s="3"/>
      <c r="P129">
        <f t="shared" si="6"/>
        <v>1.3865601520272761</v>
      </c>
      <c r="Q129">
        <f t="shared" si="5"/>
        <v>1.4398021733042554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4" x14ac:dyDescent="0.15">
      <c r="A130" s="2">
        <v>45589</v>
      </c>
      <c r="B130" s="3">
        <v>17</v>
      </c>
      <c r="C130" s="3">
        <v>9</v>
      </c>
      <c r="D130" s="3" t="s">
        <v>16</v>
      </c>
      <c r="E130" s="3" t="s">
        <v>24</v>
      </c>
      <c r="F130" s="3">
        <v>100</v>
      </c>
      <c r="G130" s="3">
        <v>100</v>
      </c>
      <c r="H130" s="3">
        <v>3</v>
      </c>
      <c r="I130" s="3" t="s">
        <v>25</v>
      </c>
      <c r="J130" s="3">
        <v>7.05</v>
      </c>
      <c r="K130" s="14">
        <v>2.75</v>
      </c>
      <c r="L130" s="14">
        <v>1</v>
      </c>
      <c r="M130" s="14">
        <v>2.75</v>
      </c>
      <c r="N130" s="3" t="s">
        <v>17</v>
      </c>
      <c r="O130" s="3"/>
      <c r="P130">
        <f t="shared" si="6"/>
        <v>1.3581916388741337</v>
      </c>
      <c r="Q130">
        <f t="shared" si="5"/>
        <v>1.3435696045092884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4" x14ac:dyDescent="0.15">
      <c r="A131" s="2">
        <v>45589</v>
      </c>
      <c r="B131" s="3">
        <v>17</v>
      </c>
      <c r="C131" s="3">
        <v>9</v>
      </c>
      <c r="D131" s="3" t="s">
        <v>16</v>
      </c>
      <c r="E131" s="3" t="s">
        <v>24</v>
      </c>
      <c r="F131" s="3">
        <v>1000</v>
      </c>
      <c r="G131" s="3">
        <v>0</v>
      </c>
      <c r="H131" s="3">
        <v>1</v>
      </c>
      <c r="I131" s="3" t="s">
        <v>25</v>
      </c>
      <c r="J131" s="3">
        <v>2.2400000000000002</v>
      </c>
      <c r="K131" s="3">
        <v>2.2400000000000002</v>
      </c>
      <c r="L131" s="3"/>
      <c r="M131" s="3"/>
      <c r="N131" s="3" t="s">
        <v>17</v>
      </c>
      <c r="O131" s="3"/>
      <c r="P131">
        <f t="shared" si="6"/>
        <v>0.32353914479334772</v>
      </c>
      <c r="Q131">
        <f t="shared" si="5"/>
        <v>-0.21434535185815579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4" x14ac:dyDescent="0.15">
      <c r="A132" s="2">
        <v>45589</v>
      </c>
      <c r="B132" s="3">
        <v>17</v>
      </c>
      <c r="C132" s="3">
        <v>9</v>
      </c>
      <c r="D132" s="3" t="s">
        <v>16</v>
      </c>
      <c r="E132" s="3" t="s">
        <v>24</v>
      </c>
      <c r="F132" s="3">
        <v>1000</v>
      </c>
      <c r="G132" s="3">
        <v>0</v>
      </c>
      <c r="H132" s="3">
        <v>2</v>
      </c>
      <c r="I132" s="3" t="s">
        <v>25</v>
      </c>
      <c r="J132" s="3">
        <v>1.64</v>
      </c>
      <c r="K132" s="3">
        <v>1.64</v>
      </c>
      <c r="L132" s="3"/>
      <c r="M132" s="3"/>
      <c r="N132" s="3" t="s">
        <v>17</v>
      </c>
      <c r="O132" s="3"/>
      <c r="P132">
        <f t="shared" si="6"/>
        <v>0.23861093189457627</v>
      </c>
      <c r="Q132">
        <f t="shared" si="5"/>
        <v>-0.97865889262255601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4" x14ac:dyDescent="0.15">
      <c r="A133" s="2">
        <v>45589</v>
      </c>
      <c r="B133" s="3">
        <v>17</v>
      </c>
      <c r="C133" s="3">
        <v>9</v>
      </c>
      <c r="D133" s="3" t="s">
        <v>16</v>
      </c>
      <c r="E133" s="3" t="s">
        <v>24</v>
      </c>
      <c r="F133" s="3">
        <v>1000</v>
      </c>
      <c r="G133" s="3">
        <v>0</v>
      </c>
      <c r="H133" s="3">
        <v>3</v>
      </c>
      <c r="I133" s="3" t="s">
        <v>25</v>
      </c>
      <c r="J133" s="3">
        <v>1.88</v>
      </c>
      <c r="K133" s="3">
        <v>1.88</v>
      </c>
      <c r="L133" s="3"/>
      <c r="M133" s="3"/>
      <c r="N133" s="3" t="s">
        <v>17</v>
      </c>
      <c r="O133" s="3"/>
      <c r="P133">
        <f t="shared" si="6"/>
        <v>0.18826663743182159</v>
      </c>
      <c r="Q133">
        <f t="shared" si="5"/>
        <v>-0.75716900183846314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4" x14ac:dyDescent="0.15">
      <c r="A134" s="2">
        <v>45589</v>
      </c>
      <c r="B134" s="3">
        <v>17</v>
      </c>
      <c r="C134" s="3">
        <v>9</v>
      </c>
      <c r="D134" s="3" t="s">
        <v>16</v>
      </c>
      <c r="E134" s="3" t="s">
        <v>27</v>
      </c>
      <c r="F134" s="3">
        <v>1250</v>
      </c>
      <c r="G134" s="3">
        <v>1250</v>
      </c>
      <c r="H134" s="3">
        <v>1</v>
      </c>
      <c r="I134" s="3" t="s">
        <v>25</v>
      </c>
      <c r="J134" s="3">
        <v>4.1399999999999997</v>
      </c>
      <c r="K134" s="14">
        <v>2.75</v>
      </c>
      <c r="L134" s="14">
        <v>1</v>
      </c>
      <c r="M134" s="14">
        <v>2.75</v>
      </c>
      <c r="N134" s="3" t="s">
        <v>17</v>
      </c>
      <c r="O134" s="3"/>
      <c r="P134">
        <f t="shared" si="6"/>
        <v>0.5901991490873032</v>
      </c>
      <c r="Q134">
        <f t="shared" si="5"/>
        <v>2.6634245208267044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4" x14ac:dyDescent="0.15">
      <c r="A135" s="2">
        <v>45589</v>
      </c>
      <c r="B135" s="3">
        <v>17</v>
      </c>
      <c r="C135" s="3">
        <v>9</v>
      </c>
      <c r="D135" s="3" t="s">
        <v>16</v>
      </c>
      <c r="E135" s="3" t="s">
        <v>27</v>
      </c>
      <c r="F135" s="3">
        <v>1250</v>
      </c>
      <c r="G135" s="3">
        <v>1250</v>
      </c>
      <c r="H135" s="3">
        <v>2</v>
      </c>
      <c r="I135" s="3" t="s">
        <v>25</v>
      </c>
      <c r="J135" s="3">
        <v>5.3</v>
      </c>
      <c r="K135" s="14">
        <v>2.75</v>
      </c>
      <c r="L135" s="14">
        <v>1</v>
      </c>
      <c r="M135" s="14">
        <v>2.75</v>
      </c>
      <c r="N135" s="3" t="s">
        <v>17</v>
      </c>
      <c r="O135" s="3"/>
      <c r="P135">
        <f t="shared" si="6"/>
        <v>0.9465607410385396</v>
      </c>
      <c r="Q135">
        <f t="shared" si="5"/>
        <v>3.3830450760438957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4" x14ac:dyDescent="0.15">
      <c r="A136" s="2">
        <v>45589</v>
      </c>
      <c r="B136" s="3">
        <v>17</v>
      </c>
      <c r="C136" s="3">
        <v>9</v>
      </c>
      <c r="D136" s="3" t="s">
        <v>16</v>
      </c>
      <c r="E136" s="3" t="s">
        <v>27</v>
      </c>
      <c r="F136" s="3">
        <v>1250</v>
      </c>
      <c r="G136" s="3">
        <v>1250</v>
      </c>
      <c r="H136" s="3">
        <v>3</v>
      </c>
      <c r="I136" s="3" t="s">
        <v>25</v>
      </c>
      <c r="J136" s="3">
        <v>5.05</v>
      </c>
      <c r="K136" s="14">
        <v>2.75</v>
      </c>
      <c r="L136" s="14">
        <v>1</v>
      </c>
      <c r="M136" s="14">
        <v>2.75</v>
      </c>
      <c r="N136" s="3" t="s">
        <v>17</v>
      </c>
      <c r="O136" s="3"/>
      <c r="P136">
        <f t="shared" si="6"/>
        <v>0.87685176922713493</v>
      </c>
      <c r="Q136">
        <f t="shared" si="5"/>
        <v>3.3492338401519044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4" x14ac:dyDescent="0.15">
      <c r="A137" s="2">
        <v>45589</v>
      </c>
      <c r="B137" s="3">
        <v>17</v>
      </c>
      <c r="C137" s="3">
        <v>9</v>
      </c>
      <c r="D137" s="3" t="s">
        <v>16</v>
      </c>
      <c r="E137" s="3" t="s">
        <v>27</v>
      </c>
      <c r="F137" s="3">
        <v>5000</v>
      </c>
      <c r="G137" s="3">
        <v>0</v>
      </c>
      <c r="H137" s="3">
        <v>1</v>
      </c>
      <c r="I137" s="3" t="s">
        <v>25</v>
      </c>
      <c r="J137" s="3"/>
      <c r="K137" s="3"/>
      <c r="L137" s="3"/>
      <c r="M137" s="3"/>
      <c r="N137" s="3" t="s">
        <v>17</v>
      </c>
      <c r="O137" s="3"/>
      <c r="Q137">
        <f t="shared" si="5"/>
        <v>-1.4915252483471506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4" x14ac:dyDescent="0.15">
      <c r="A138" s="2">
        <v>45589</v>
      </c>
      <c r="B138" s="3">
        <v>17</v>
      </c>
      <c r="C138" s="3">
        <v>9</v>
      </c>
      <c r="D138" s="3" t="s">
        <v>16</v>
      </c>
      <c r="E138" s="3" t="s">
        <v>27</v>
      </c>
      <c r="F138" s="3">
        <v>5000</v>
      </c>
      <c r="G138" s="3">
        <v>0</v>
      </c>
      <c r="H138" s="3">
        <v>2</v>
      </c>
      <c r="I138" s="3" t="s">
        <v>25</v>
      </c>
      <c r="J138" s="3"/>
      <c r="K138" s="3"/>
      <c r="L138" s="3"/>
      <c r="M138" s="3"/>
      <c r="N138" s="3" t="s">
        <v>17</v>
      </c>
      <c r="O138" s="3"/>
      <c r="Q138">
        <f t="shared" si="5"/>
        <v>-1.8572598278839181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4" x14ac:dyDescent="0.15">
      <c r="A139" s="2">
        <v>45589</v>
      </c>
      <c r="B139" s="3">
        <v>17</v>
      </c>
      <c r="C139" s="3">
        <v>9</v>
      </c>
      <c r="D139" s="3" t="s">
        <v>16</v>
      </c>
      <c r="E139" s="3" t="s">
        <v>27</v>
      </c>
      <c r="F139" s="3">
        <v>5000</v>
      </c>
      <c r="G139" s="3">
        <v>0</v>
      </c>
      <c r="H139" s="3">
        <v>3</v>
      </c>
      <c r="I139" s="3" t="s">
        <v>25</v>
      </c>
      <c r="J139" s="3"/>
      <c r="K139" s="3"/>
      <c r="L139" s="3"/>
      <c r="M139" s="3"/>
      <c r="N139" s="3" t="s">
        <v>17</v>
      </c>
      <c r="O139" s="3"/>
      <c r="Q139">
        <f t="shared" si="5"/>
        <v>-1.2453068132844498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4" x14ac:dyDescent="0.15">
      <c r="A140" s="2">
        <v>45589</v>
      </c>
      <c r="B140" s="3">
        <v>17</v>
      </c>
      <c r="C140" s="3">
        <v>9</v>
      </c>
      <c r="D140" s="3" t="s">
        <v>16</v>
      </c>
      <c r="E140" s="3" t="s">
        <v>28</v>
      </c>
      <c r="F140" s="3">
        <v>1500</v>
      </c>
      <c r="G140" s="3">
        <v>1500</v>
      </c>
      <c r="H140" s="3">
        <v>1</v>
      </c>
      <c r="I140" s="3" t="s">
        <v>25</v>
      </c>
      <c r="J140" s="3">
        <v>5.51</v>
      </c>
      <c r="K140" s="14">
        <v>2.75</v>
      </c>
      <c r="L140" s="14">
        <v>1</v>
      </c>
      <c r="M140" s="14">
        <v>2.75</v>
      </c>
      <c r="N140" s="3" t="s">
        <v>17</v>
      </c>
      <c r="O140" s="3"/>
      <c r="P140">
        <f t="shared" ref="P140:P142" si="7">LOG(J140/K101,2)</f>
        <v>1.0026207001591354</v>
      </c>
      <c r="Q140">
        <f t="shared" si="5"/>
        <v>2.8808119565273933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4" x14ac:dyDescent="0.15">
      <c r="A141" s="2">
        <v>45589</v>
      </c>
      <c r="B141" s="3">
        <v>17</v>
      </c>
      <c r="C141" s="3">
        <v>9</v>
      </c>
      <c r="D141" s="3" t="s">
        <v>16</v>
      </c>
      <c r="E141" s="3" t="s">
        <v>28</v>
      </c>
      <c r="F141" s="3">
        <v>1500</v>
      </c>
      <c r="G141" s="3">
        <v>1500</v>
      </c>
      <c r="H141" s="3">
        <v>2</v>
      </c>
      <c r="I141" s="3" t="s">
        <v>25</v>
      </c>
      <c r="J141" s="3">
        <v>6.14</v>
      </c>
      <c r="K141" s="14">
        <v>2.75</v>
      </c>
      <c r="L141" s="14">
        <v>1</v>
      </c>
      <c r="M141" s="14">
        <v>2.75</v>
      </c>
      <c r="N141" s="3" t="s">
        <v>17</v>
      </c>
      <c r="O141" s="3"/>
      <c r="P141">
        <f t="shared" si="7"/>
        <v>1.1588070369581571</v>
      </c>
      <c r="Q141">
        <f t="shared" si="5"/>
        <v>2.5156735040689355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4" x14ac:dyDescent="0.15">
      <c r="A142" s="2">
        <v>45589</v>
      </c>
      <c r="B142" s="3">
        <v>17</v>
      </c>
      <c r="C142" s="3">
        <v>9</v>
      </c>
      <c r="D142" s="3" t="s">
        <v>16</v>
      </c>
      <c r="E142" s="3" t="s">
        <v>28</v>
      </c>
      <c r="F142" s="3">
        <v>1500</v>
      </c>
      <c r="G142" s="3">
        <v>1500</v>
      </c>
      <c r="H142" s="3">
        <v>3</v>
      </c>
      <c r="I142" s="3" t="s">
        <v>25</v>
      </c>
      <c r="J142" s="3">
        <v>5.54</v>
      </c>
      <c r="K142" s="14">
        <v>2.75</v>
      </c>
      <c r="L142" s="14">
        <v>1</v>
      </c>
      <c r="M142" s="14">
        <v>2.75</v>
      </c>
      <c r="N142" s="3" t="s">
        <v>17</v>
      </c>
      <c r="O142" s="3"/>
      <c r="P142">
        <f t="shared" si="7"/>
        <v>1.0104543576371665</v>
      </c>
      <c r="Q142">
        <f t="shared" si="5"/>
        <v>3.0301498033059211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4" x14ac:dyDescent="0.15">
      <c r="A143" s="2">
        <v>45589</v>
      </c>
      <c r="B143" s="3">
        <v>17</v>
      </c>
      <c r="C143" s="3">
        <v>9</v>
      </c>
      <c r="D143" s="3" t="s">
        <v>16</v>
      </c>
      <c r="E143" s="3" t="s">
        <v>28</v>
      </c>
      <c r="F143" s="3">
        <v>5000</v>
      </c>
      <c r="G143" s="3">
        <v>0</v>
      </c>
      <c r="H143" s="3">
        <v>1</v>
      </c>
      <c r="I143" s="3" t="s">
        <v>25</v>
      </c>
      <c r="J143" s="3"/>
      <c r="K143" s="3"/>
      <c r="L143" s="3"/>
      <c r="M143" s="3"/>
      <c r="N143" s="3" t="s">
        <v>17</v>
      </c>
      <c r="O143" s="3"/>
      <c r="Q143">
        <f t="shared" si="5"/>
        <v>-0.9434164716336324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4" x14ac:dyDescent="0.15">
      <c r="A144" s="2">
        <v>45589</v>
      </c>
      <c r="B144" s="3">
        <v>17</v>
      </c>
      <c r="C144" s="3">
        <v>9</v>
      </c>
      <c r="D144" s="3" t="s">
        <v>16</v>
      </c>
      <c r="E144" s="3" t="s">
        <v>28</v>
      </c>
      <c r="F144" s="3">
        <v>5000</v>
      </c>
      <c r="G144" s="3">
        <v>0</v>
      </c>
      <c r="H144" s="3">
        <v>2</v>
      </c>
      <c r="I144" s="3" t="s">
        <v>25</v>
      </c>
      <c r="J144" s="3"/>
      <c r="K144" s="3"/>
      <c r="L144" s="3"/>
      <c r="M144" s="3"/>
      <c r="N144" s="3" t="s">
        <v>17</v>
      </c>
      <c r="O144" s="3"/>
      <c r="Q144">
        <f t="shared" si="5"/>
        <v>-1.1963972128035034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4" x14ac:dyDescent="0.15">
      <c r="A145" s="2">
        <v>45589</v>
      </c>
      <c r="B145" s="3">
        <v>17</v>
      </c>
      <c r="C145" s="3">
        <v>9</v>
      </c>
      <c r="D145" s="3" t="s">
        <v>16</v>
      </c>
      <c r="E145" s="3" t="s">
        <v>28</v>
      </c>
      <c r="F145" s="3">
        <v>5000</v>
      </c>
      <c r="G145" s="3">
        <v>0</v>
      </c>
      <c r="H145" s="3">
        <v>3</v>
      </c>
      <c r="I145" s="3" t="s">
        <v>25</v>
      </c>
      <c r="J145" s="3"/>
      <c r="K145" s="3"/>
      <c r="L145" s="3"/>
      <c r="M145" s="3"/>
      <c r="N145" s="3" t="s">
        <v>17</v>
      </c>
      <c r="O145" s="3"/>
      <c r="Q145">
        <f t="shared" si="5"/>
        <v>-1.1375035237499349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4" x14ac:dyDescent="0.15">
      <c r="A146" s="2">
        <v>45589</v>
      </c>
      <c r="B146" s="3">
        <v>17</v>
      </c>
      <c r="C146" s="3">
        <v>9</v>
      </c>
      <c r="D146" s="3" t="s">
        <v>16</v>
      </c>
      <c r="E146" s="3" t="s">
        <v>29</v>
      </c>
      <c r="F146" s="3">
        <v>1000</v>
      </c>
      <c r="G146" s="3">
        <v>0</v>
      </c>
      <c r="H146" s="3">
        <v>1</v>
      </c>
      <c r="I146" s="3" t="s">
        <v>25</v>
      </c>
      <c r="J146" s="3"/>
      <c r="K146" s="3"/>
      <c r="L146" s="3"/>
      <c r="M146" s="3"/>
      <c r="N146" s="3" t="s">
        <v>17</v>
      </c>
      <c r="O146" s="3"/>
      <c r="Q146">
        <f t="shared" si="5"/>
        <v>-1.8046294928475071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4" x14ac:dyDescent="0.15">
      <c r="A147" s="2">
        <v>45589</v>
      </c>
      <c r="B147" s="3">
        <v>17</v>
      </c>
      <c r="C147" s="3">
        <v>9</v>
      </c>
      <c r="D147" s="3" t="s">
        <v>16</v>
      </c>
      <c r="E147" s="3" t="s">
        <v>29</v>
      </c>
      <c r="F147" s="3">
        <v>1000</v>
      </c>
      <c r="G147" s="3">
        <v>0</v>
      </c>
      <c r="H147" s="3">
        <v>2</v>
      </c>
      <c r="I147" s="3" t="s">
        <v>25</v>
      </c>
      <c r="J147" s="3"/>
      <c r="K147" s="3"/>
      <c r="L147" s="3"/>
      <c r="M147" s="3"/>
      <c r="N147" s="3" t="s">
        <v>17</v>
      </c>
      <c r="O147" s="3"/>
      <c r="Q147">
        <f t="shared" si="5"/>
        <v>-3.3353441534231063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4" x14ac:dyDescent="0.15">
      <c r="A148" s="2">
        <v>45589</v>
      </c>
      <c r="B148" s="3">
        <v>17</v>
      </c>
      <c r="C148" s="3">
        <v>9</v>
      </c>
      <c r="D148" s="3" t="s">
        <v>16</v>
      </c>
      <c r="E148" s="3" t="s">
        <v>29</v>
      </c>
      <c r="F148" s="3">
        <v>1000</v>
      </c>
      <c r="G148" s="3">
        <v>0</v>
      </c>
      <c r="H148" s="3">
        <v>3</v>
      </c>
      <c r="I148" s="3" t="s">
        <v>25</v>
      </c>
      <c r="J148" s="3"/>
      <c r="K148" s="3"/>
      <c r="L148" s="3"/>
      <c r="M148" s="3"/>
      <c r="N148" s="3" t="s">
        <v>17</v>
      </c>
      <c r="O148" s="3"/>
      <c r="Q148">
        <f t="shared" si="5"/>
        <v>-1.7739684730195671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4" x14ac:dyDescent="0.15">
      <c r="A149" s="2">
        <v>45589</v>
      </c>
      <c r="B149" s="3">
        <v>17</v>
      </c>
      <c r="C149" s="3">
        <v>9</v>
      </c>
      <c r="D149" s="3" t="s">
        <v>16</v>
      </c>
      <c r="E149" s="3" t="s">
        <v>29</v>
      </c>
      <c r="F149" s="3">
        <v>2500</v>
      </c>
      <c r="G149" s="3">
        <v>0</v>
      </c>
      <c r="H149" s="3">
        <v>1</v>
      </c>
      <c r="I149" s="3" t="s">
        <v>25</v>
      </c>
      <c r="J149" s="3"/>
      <c r="K149" s="3"/>
      <c r="L149" s="3"/>
      <c r="M149" s="3"/>
      <c r="N149" s="3" t="s">
        <v>17</v>
      </c>
      <c r="O149" s="3"/>
      <c r="Q149">
        <f t="shared" si="5"/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4" x14ac:dyDescent="0.15">
      <c r="A150" s="2">
        <v>45589</v>
      </c>
      <c r="B150" s="3">
        <v>17</v>
      </c>
      <c r="C150" s="3">
        <v>9</v>
      </c>
      <c r="D150" s="3" t="s">
        <v>16</v>
      </c>
      <c r="E150" s="3" t="s">
        <v>29</v>
      </c>
      <c r="F150" s="3">
        <v>2500</v>
      </c>
      <c r="G150" s="3">
        <v>0</v>
      </c>
      <c r="H150" s="3">
        <v>2</v>
      </c>
      <c r="I150" s="3" t="s">
        <v>25</v>
      </c>
      <c r="J150" s="3"/>
      <c r="K150" s="3"/>
      <c r="L150" s="3"/>
      <c r="M150" s="3"/>
      <c r="N150" s="3" t="s">
        <v>17</v>
      </c>
      <c r="O150" s="3"/>
      <c r="Q150">
        <f t="shared" si="5"/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4" x14ac:dyDescent="0.15">
      <c r="A151" s="2">
        <v>45589</v>
      </c>
      <c r="B151" s="3">
        <v>17</v>
      </c>
      <c r="C151" s="3">
        <v>9</v>
      </c>
      <c r="D151" s="3" t="s">
        <v>16</v>
      </c>
      <c r="E151" s="3" t="s">
        <v>29</v>
      </c>
      <c r="F151" s="3">
        <v>2500</v>
      </c>
      <c r="G151" s="3">
        <v>0</v>
      </c>
      <c r="H151" s="3">
        <v>3</v>
      </c>
      <c r="I151" s="3" t="s">
        <v>25</v>
      </c>
      <c r="J151" s="3"/>
      <c r="K151" s="3"/>
      <c r="L151" s="3"/>
      <c r="M151" s="3"/>
      <c r="N151" s="3" t="s">
        <v>17</v>
      </c>
      <c r="O151" s="3"/>
      <c r="Q151">
        <f t="shared" si="5"/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4" x14ac:dyDescent="0.15">
      <c r="A152" s="2">
        <v>45589</v>
      </c>
      <c r="B152" s="3">
        <v>17</v>
      </c>
      <c r="C152" s="3">
        <v>9</v>
      </c>
      <c r="D152" s="3" t="s">
        <v>16</v>
      </c>
      <c r="E152" s="3" t="s">
        <v>30</v>
      </c>
      <c r="F152" s="3">
        <v>2000</v>
      </c>
      <c r="G152" s="3">
        <v>2000</v>
      </c>
      <c r="H152" s="3">
        <v>1</v>
      </c>
      <c r="I152" s="3" t="s">
        <v>25</v>
      </c>
      <c r="J152" s="3">
        <v>4.79</v>
      </c>
      <c r="K152" s="14">
        <v>2.75</v>
      </c>
      <c r="L152" s="14">
        <v>1</v>
      </c>
      <c r="M152" s="14">
        <v>2.75</v>
      </c>
      <c r="N152" s="3" t="s">
        <v>17</v>
      </c>
      <c r="O152" s="3"/>
      <c r="P152">
        <f t="shared" ref="P152:P157" si="8">LOG(J152/K113,2)</f>
        <v>0.80059403732415846</v>
      </c>
      <c r="Q152">
        <f t="shared" si="5"/>
        <v>2.0938643075833197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4" x14ac:dyDescent="0.15">
      <c r="A153" s="2">
        <v>45589</v>
      </c>
      <c r="B153" s="3">
        <v>17</v>
      </c>
      <c r="C153" s="3">
        <v>9</v>
      </c>
      <c r="D153" s="3" t="s">
        <v>16</v>
      </c>
      <c r="E153" s="3" t="s">
        <v>30</v>
      </c>
      <c r="F153" s="3">
        <v>2000</v>
      </c>
      <c r="G153" s="3">
        <v>2000</v>
      </c>
      <c r="H153" s="3">
        <v>2</v>
      </c>
      <c r="I153" s="3" t="s">
        <v>25</v>
      </c>
      <c r="J153" s="3">
        <v>5.08</v>
      </c>
      <c r="K153" s="14">
        <v>2.75</v>
      </c>
      <c r="L153" s="14">
        <v>1</v>
      </c>
      <c r="M153" s="14">
        <v>2.75</v>
      </c>
      <c r="N153" s="3" t="s">
        <v>17</v>
      </c>
      <c r="O153" s="3"/>
      <c r="P153">
        <f t="shared" si="8"/>
        <v>0.88539687836014402</v>
      </c>
      <c r="Q153">
        <f t="shared" si="5"/>
        <v>2.3915161761461396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4" x14ac:dyDescent="0.15">
      <c r="A154" s="2">
        <v>45589</v>
      </c>
      <c r="B154" s="3">
        <v>17</v>
      </c>
      <c r="C154" s="3">
        <v>9</v>
      </c>
      <c r="D154" s="3" t="s">
        <v>16</v>
      </c>
      <c r="E154" s="3" t="s">
        <v>30</v>
      </c>
      <c r="F154" s="3">
        <v>2000</v>
      </c>
      <c r="G154" s="3">
        <v>2000</v>
      </c>
      <c r="H154" s="3">
        <v>3</v>
      </c>
      <c r="I154" s="3" t="s">
        <v>25</v>
      </c>
      <c r="J154" s="3">
        <v>4.25</v>
      </c>
      <c r="K154" s="14">
        <v>2.75</v>
      </c>
      <c r="L154" s="14">
        <v>1</v>
      </c>
      <c r="M154" s="14">
        <v>2.75</v>
      </c>
      <c r="N154" s="3" t="s">
        <v>17</v>
      </c>
      <c r="O154" s="3"/>
      <c r="P154">
        <f t="shared" si="8"/>
        <v>0.62803122261304212</v>
      </c>
      <c r="Q154">
        <f t="shared" si="5"/>
        <v>2.0542023640827956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4" x14ac:dyDescent="0.15">
      <c r="A155" s="2">
        <v>45589</v>
      </c>
      <c r="B155" s="3">
        <v>17</v>
      </c>
      <c r="C155" s="3">
        <v>9</v>
      </c>
      <c r="D155" s="3" t="s">
        <v>16</v>
      </c>
      <c r="E155" s="3" t="s">
        <v>30</v>
      </c>
      <c r="F155" s="3">
        <v>15000</v>
      </c>
      <c r="G155" s="3">
        <v>4000</v>
      </c>
      <c r="H155" s="3">
        <v>1</v>
      </c>
      <c r="I155" s="3" t="s">
        <v>25</v>
      </c>
      <c r="J155" s="3">
        <v>4.3600000000000003</v>
      </c>
      <c r="K155" s="14">
        <v>2.75</v>
      </c>
      <c r="L155" s="14">
        <v>1</v>
      </c>
      <c r="M155" s="14">
        <v>2.75</v>
      </c>
      <c r="N155" s="3" t="s">
        <v>17</v>
      </c>
      <c r="O155" s="3"/>
      <c r="P155">
        <f t="shared" si="8"/>
        <v>1.300578774693929</v>
      </c>
      <c r="Q155">
        <f t="shared" si="5"/>
        <v>0.66489651636490454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4" x14ac:dyDescent="0.15">
      <c r="A156" s="2">
        <v>45589</v>
      </c>
      <c r="B156" s="3">
        <v>17</v>
      </c>
      <c r="C156" s="3">
        <v>9</v>
      </c>
      <c r="D156" s="3" t="s">
        <v>16</v>
      </c>
      <c r="E156" s="3" t="s">
        <v>30</v>
      </c>
      <c r="F156" s="3">
        <v>15000</v>
      </c>
      <c r="G156" s="3">
        <v>4000</v>
      </c>
      <c r="H156" s="3">
        <v>2</v>
      </c>
      <c r="I156" s="3" t="s">
        <v>25</v>
      </c>
      <c r="J156" s="3">
        <v>4.3499999999999996</v>
      </c>
      <c r="K156" s="14">
        <v>2.75</v>
      </c>
      <c r="L156" s="14">
        <v>1</v>
      </c>
      <c r="M156" s="14">
        <v>2.75</v>
      </c>
      <c r="N156" s="3" t="s">
        <v>17</v>
      </c>
      <c r="O156" s="3"/>
      <c r="P156">
        <f t="shared" si="8"/>
        <v>0.63044527051516441</v>
      </c>
      <c r="Q156">
        <f t="shared" si="5"/>
        <v>0.66158378232406845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4" x14ac:dyDescent="0.15">
      <c r="A157" s="2">
        <v>45589</v>
      </c>
      <c r="B157" s="3">
        <v>17</v>
      </c>
      <c r="C157" s="3">
        <v>9</v>
      </c>
      <c r="D157" s="3" t="s">
        <v>16</v>
      </c>
      <c r="E157" s="3" t="s">
        <v>30</v>
      </c>
      <c r="F157" s="3">
        <v>15000</v>
      </c>
      <c r="G157" s="3">
        <v>4000</v>
      </c>
      <c r="H157" s="3">
        <v>3</v>
      </c>
      <c r="I157" s="3" t="s">
        <v>25</v>
      </c>
      <c r="J157" s="3">
        <v>4.6500000000000004</v>
      </c>
      <c r="K157" s="14">
        <v>2.75</v>
      </c>
      <c r="L157" s="14">
        <v>1</v>
      </c>
      <c r="M157" s="14">
        <v>2.75</v>
      </c>
      <c r="N157" s="3" t="s">
        <v>17</v>
      </c>
      <c r="O157" s="3"/>
      <c r="P157">
        <f t="shared" si="8"/>
        <v>0.9362744023896129</v>
      </c>
      <c r="Q157">
        <f t="shared" si="5"/>
        <v>0.75779909758337194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4" x14ac:dyDescent="0.15">
      <c r="A158" s="2">
        <v>45589</v>
      </c>
      <c r="B158" s="3">
        <v>17</v>
      </c>
      <c r="C158" s="3">
        <v>9</v>
      </c>
      <c r="D158" s="3" t="s">
        <v>16</v>
      </c>
      <c r="E158" s="3" t="s">
        <v>31</v>
      </c>
      <c r="F158" s="3">
        <v>4000</v>
      </c>
      <c r="G158" s="3">
        <v>4000</v>
      </c>
      <c r="H158" s="3">
        <v>1</v>
      </c>
      <c r="I158" s="3" t="s">
        <v>25</v>
      </c>
      <c r="J158" s="3">
        <v>4.78</v>
      </c>
      <c r="K158" s="14">
        <v>2.75</v>
      </c>
      <c r="L158" s="14">
        <v>1</v>
      </c>
      <c r="M158" s="14">
        <v>2.75</v>
      </c>
      <c r="N158" s="3" t="s">
        <v>17</v>
      </c>
      <c r="O158" s="3"/>
      <c r="P158">
        <f t="shared" ref="P158:P160" si="9">LOG(J158/K119,2)</f>
        <v>0.79757899956872669</v>
      </c>
      <c r="Q158">
        <f t="shared" si="5"/>
        <v>2.8402881601395848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4" x14ac:dyDescent="0.15">
      <c r="A159" s="2">
        <v>45589</v>
      </c>
      <c r="B159" s="3">
        <v>17</v>
      </c>
      <c r="C159" s="3">
        <v>9</v>
      </c>
      <c r="D159" s="3" t="s">
        <v>16</v>
      </c>
      <c r="E159" s="3" t="s">
        <v>31</v>
      </c>
      <c r="F159" s="3">
        <v>4000</v>
      </c>
      <c r="G159" s="3">
        <v>4000</v>
      </c>
      <c r="H159" s="3">
        <v>2</v>
      </c>
      <c r="I159" s="3" t="s">
        <v>25</v>
      </c>
      <c r="J159" s="3">
        <v>6.29</v>
      </c>
      <c r="K159" s="14">
        <v>2.75</v>
      </c>
      <c r="L159" s="14">
        <v>1</v>
      </c>
      <c r="M159" s="14">
        <v>2.75</v>
      </c>
      <c r="N159" s="3" t="s">
        <v>17</v>
      </c>
      <c r="O159" s="3"/>
      <c r="P159">
        <f t="shared" si="9"/>
        <v>1.1936283984672671</v>
      </c>
      <c r="Q159">
        <f t="shared" si="5"/>
        <v>3.1866484505984669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4" x14ac:dyDescent="0.15">
      <c r="A160" s="2">
        <v>45589</v>
      </c>
      <c r="B160" s="3">
        <v>17</v>
      </c>
      <c r="C160" s="3">
        <v>9</v>
      </c>
      <c r="D160" s="3" t="s">
        <v>16</v>
      </c>
      <c r="E160" s="3" t="s">
        <v>31</v>
      </c>
      <c r="F160" s="3">
        <v>4000</v>
      </c>
      <c r="G160" s="3">
        <v>4000</v>
      </c>
      <c r="H160" s="3">
        <v>3</v>
      </c>
      <c r="I160" s="3" t="s">
        <v>25</v>
      </c>
      <c r="J160" s="3">
        <v>5.54</v>
      </c>
      <c r="K160" s="14">
        <v>2.75</v>
      </c>
      <c r="L160" s="14">
        <v>1</v>
      </c>
      <c r="M160" s="14">
        <v>2.75</v>
      </c>
      <c r="N160" s="3" t="s">
        <v>17</v>
      </c>
      <c r="O160" s="3"/>
      <c r="P160">
        <f t="shared" si="9"/>
        <v>1.0104543576371665</v>
      </c>
      <c r="Q160">
        <f t="shared" si="5"/>
        <v>2.9868937416958792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4" x14ac:dyDescent="0.15">
      <c r="A161" s="2">
        <v>45589</v>
      </c>
      <c r="B161" s="3">
        <v>17</v>
      </c>
      <c r="C161" s="3">
        <v>9</v>
      </c>
      <c r="D161" s="3" t="s">
        <v>16</v>
      </c>
      <c r="E161" s="3" t="s">
        <v>31</v>
      </c>
      <c r="F161" s="3">
        <v>8000</v>
      </c>
      <c r="G161" s="3">
        <v>0</v>
      </c>
      <c r="H161" s="3">
        <v>1</v>
      </c>
      <c r="I161" s="3" t="s">
        <v>25</v>
      </c>
      <c r="J161" s="3">
        <v>7.51</v>
      </c>
      <c r="K161" s="14">
        <v>2.75</v>
      </c>
      <c r="L161" s="3"/>
      <c r="M161" s="3"/>
      <c r="N161" s="3" t="s">
        <v>17</v>
      </c>
      <c r="O161" s="3"/>
      <c r="P161">
        <f t="shared" ref="P161:P172" si="10">LOG(J161/K122,2)</f>
        <v>1.0291071414572588</v>
      </c>
      <c r="Q161">
        <f t="shared" si="5"/>
        <v>2.2738714427725699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4" x14ac:dyDescent="0.15">
      <c r="A162" s="2">
        <v>45589</v>
      </c>
      <c r="B162" s="3">
        <v>17</v>
      </c>
      <c r="C162" s="3">
        <v>9</v>
      </c>
      <c r="D162" s="3" t="s">
        <v>16</v>
      </c>
      <c r="E162" s="3" t="s">
        <v>31</v>
      </c>
      <c r="F162" s="3">
        <v>8000</v>
      </c>
      <c r="G162" s="3">
        <v>0</v>
      </c>
      <c r="H162" s="3">
        <v>2</v>
      </c>
      <c r="I162" s="3" t="s">
        <v>25</v>
      </c>
      <c r="J162" s="3">
        <v>1.67</v>
      </c>
      <c r="K162" s="3">
        <v>1.67</v>
      </c>
      <c r="L162" s="3"/>
      <c r="M162" s="3"/>
      <c r="N162" s="3" t="s">
        <v>17</v>
      </c>
      <c r="O162" s="3"/>
      <c r="P162">
        <f t="shared" si="10"/>
        <v>0.74853034579912847</v>
      </c>
      <c r="Q162">
        <f t="shared" si="5"/>
        <v>-0.53746910548774307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4" x14ac:dyDescent="0.15">
      <c r="A163" s="2">
        <v>45589</v>
      </c>
      <c r="B163" s="3">
        <v>17</v>
      </c>
      <c r="C163" s="3">
        <v>9</v>
      </c>
      <c r="D163" s="3" t="s">
        <v>16</v>
      </c>
      <c r="E163" s="3" t="s">
        <v>31</v>
      </c>
      <c r="F163" s="3">
        <v>8000</v>
      </c>
      <c r="G163" s="3">
        <v>0</v>
      </c>
      <c r="H163" s="3">
        <v>3</v>
      </c>
      <c r="I163" s="3" t="s">
        <v>25</v>
      </c>
      <c r="J163" s="3">
        <v>3.86</v>
      </c>
      <c r="K163" s="3">
        <v>3.86</v>
      </c>
      <c r="L163" s="3"/>
      <c r="M163" s="3"/>
      <c r="N163" s="3" t="s">
        <v>17</v>
      </c>
      <c r="O163" s="3"/>
      <c r="P163">
        <f t="shared" si="10"/>
        <v>0.8110973237434207</v>
      </c>
      <c r="Q163">
        <f t="shared" si="5"/>
        <v>1.0476595182160233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4" x14ac:dyDescent="0.15">
      <c r="A164" s="2">
        <v>45589</v>
      </c>
      <c r="B164" s="3">
        <v>17</v>
      </c>
      <c r="C164" s="3">
        <v>9</v>
      </c>
      <c r="D164" s="3" t="s">
        <v>16</v>
      </c>
      <c r="E164" s="3" t="s">
        <v>32</v>
      </c>
      <c r="F164" s="5">
        <v>0.01</v>
      </c>
      <c r="G164" s="5">
        <v>0.01</v>
      </c>
      <c r="H164" s="3">
        <v>1</v>
      </c>
      <c r="I164" s="3" t="s">
        <v>25</v>
      </c>
      <c r="J164" s="3">
        <v>5.46</v>
      </c>
      <c r="K164" s="14">
        <v>2.75</v>
      </c>
      <c r="L164" s="14">
        <v>1</v>
      </c>
      <c r="M164" s="14">
        <v>2.75</v>
      </c>
      <c r="N164" s="3" t="s">
        <v>17</v>
      </c>
      <c r="O164" s="3"/>
      <c r="P164">
        <f t="shared" si="10"/>
        <v>0.98946933250783042</v>
      </c>
      <c r="Q164">
        <f t="shared" si="5"/>
        <v>3.7002774508064165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4" x14ac:dyDescent="0.15">
      <c r="A165" s="2">
        <v>45589</v>
      </c>
      <c r="B165" s="3">
        <v>17</v>
      </c>
      <c r="C165" s="3">
        <v>9</v>
      </c>
      <c r="D165" s="3" t="s">
        <v>16</v>
      </c>
      <c r="E165" s="3" t="s">
        <v>32</v>
      </c>
      <c r="F165" s="5">
        <v>0.01</v>
      </c>
      <c r="G165" s="5">
        <v>0.01</v>
      </c>
      <c r="H165" s="3">
        <v>2</v>
      </c>
      <c r="I165" s="3" t="s">
        <v>25</v>
      </c>
      <c r="J165" s="3">
        <v>6.3</v>
      </c>
      <c r="K165" s="14">
        <v>2.75</v>
      </c>
      <c r="L165" s="14">
        <v>1</v>
      </c>
      <c r="M165" s="14">
        <v>2.75</v>
      </c>
      <c r="N165" s="3" t="s">
        <v>17</v>
      </c>
      <c r="O165" s="3"/>
      <c r="P165">
        <f t="shared" si="10"/>
        <v>1.1959202099752571</v>
      </c>
      <c r="Q165">
        <f t="shared" si="5"/>
        <v>3.9831398943375884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4" x14ac:dyDescent="0.15">
      <c r="A166" s="2">
        <v>45589</v>
      </c>
      <c r="B166" s="3">
        <v>17</v>
      </c>
      <c r="C166" s="3">
        <v>9</v>
      </c>
      <c r="D166" s="3" t="s">
        <v>16</v>
      </c>
      <c r="E166" s="3" t="s">
        <v>32</v>
      </c>
      <c r="F166" s="5">
        <v>0.01</v>
      </c>
      <c r="G166" s="5">
        <v>0.01</v>
      </c>
      <c r="H166" s="3">
        <v>3</v>
      </c>
      <c r="I166" s="3" t="s">
        <v>25</v>
      </c>
      <c r="J166" s="3">
        <v>7.74</v>
      </c>
      <c r="K166" s="14">
        <v>2.75</v>
      </c>
      <c r="L166" s="14">
        <v>1</v>
      </c>
      <c r="M166" s="14">
        <v>2.75</v>
      </c>
      <c r="N166" s="3" t="s">
        <v>17</v>
      </c>
      <c r="O166" s="3"/>
      <c r="P166">
        <f t="shared" si="10"/>
        <v>1.4929019477323886</v>
      </c>
      <c r="Q166">
        <f t="shared" si="5"/>
        <v>4.4661382533838658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4" x14ac:dyDescent="0.15">
      <c r="A167" s="2">
        <v>45592</v>
      </c>
      <c r="B167" s="3">
        <v>20</v>
      </c>
      <c r="C167" s="3">
        <v>12</v>
      </c>
      <c r="D167" s="3" t="s">
        <v>16</v>
      </c>
      <c r="E167" s="3" t="s">
        <v>24</v>
      </c>
      <c r="F167" s="3">
        <v>100</v>
      </c>
      <c r="G167" s="3">
        <v>100</v>
      </c>
      <c r="H167" s="3">
        <v>1</v>
      </c>
      <c r="I167" s="3" t="s">
        <v>25</v>
      </c>
      <c r="J167" s="3">
        <v>4.66</v>
      </c>
      <c r="K167" s="14">
        <v>2.75</v>
      </c>
      <c r="L167" s="14">
        <v>1</v>
      </c>
      <c r="M167" s="14">
        <v>2.75</v>
      </c>
      <c r="N167" s="3" t="s">
        <v>17</v>
      </c>
      <c r="O167" s="3"/>
      <c r="P167">
        <f t="shared" si="10"/>
        <v>0.76089833624225822</v>
      </c>
      <c r="Q167">
        <f t="shared" si="5"/>
        <v>1.9766397619233524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4" x14ac:dyDescent="0.15">
      <c r="A168" s="2">
        <v>45592</v>
      </c>
      <c r="B168" s="3">
        <v>20</v>
      </c>
      <c r="C168" s="3">
        <v>12</v>
      </c>
      <c r="D168" s="3" t="s">
        <v>16</v>
      </c>
      <c r="E168" s="3" t="s">
        <v>24</v>
      </c>
      <c r="F168" s="3">
        <v>100</v>
      </c>
      <c r="G168" s="3">
        <v>100</v>
      </c>
      <c r="H168" s="3">
        <v>2</v>
      </c>
      <c r="I168" s="3" t="s">
        <v>25</v>
      </c>
      <c r="J168" s="3">
        <v>6.05</v>
      </c>
      <c r="K168" s="14">
        <v>2.75</v>
      </c>
      <c r="L168" s="14">
        <v>1</v>
      </c>
      <c r="M168" s="14">
        <v>2.75</v>
      </c>
      <c r="N168" s="3" t="s">
        <v>17</v>
      </c>
      <c r="O168" s="3"/>
      <c r="P168">
        <f t="shared" si="10"/>
        <v>1.1375035237499347</v>
      </c>
      <c r="Q168">
        <f t="shared" si="5"/>
        <v>2.5773056970541903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4" x14ac:dyDescent="0.15">
      <c r="A169" s="2">
        <v>45592</v>
      </c>
      <c r="B169" s="3">
        <v>20</v>
      </c>
      <c r="C169" s="3">
        <v>12</v>
      </c>
      <c r="D169" s="3" t="s">
        <v>16</v>
      </c>
      <c r="E169" s="3" t="s">
        <v>24</v>
      </c>
      <c r="F169" s="3">
        <v>100</v>
      </c>
      <c r="G169" s="3">
        <v>100</v>
      </c>
      <c r="H169" s="3">
        <v>3</v>
      </c>
      <c r="I169" s="3" t="s">
        <v>25</v>
      </c>
      <c r="J169" s="3">
        <v>5.22</v>
      </c>
      <c r="K169" s="14">
        <v>2.75</v>
      </c>
      <c r="L169" s="14">
        <v>1</v>
      </c>
      <c r="M169" s="14">
        <v>2.75</v>
      </c>
      <c r="N169" s="3" t="s">
        <v>17</v>
      </c>
      <c r="O169" s="3"/>
      <c r="P169">
        <f t="shared" si="10"/>
        <v>0.92461818815786256</v>
      </c>
      <c r="Q169">
        <f t="shared" si="5"/>
        <v>2.2681877926671508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4" x14ac:dyDescent="0.15">
      <c r="A170" s="2">
        <v>45592</v>
      </c>
      <c r="B170" s="3">
        <v>20</v>
      </c>
      <c r="C170" s="3">
        <v>12</v>
      </c>
      <c r="D170" s="3" t="s">
        <v>16</v>
      </c>
      <c r="E170" s="3" t="s">
        <v>24</v>
      </c>
      <c r="F170" s="3">
        <v>1000</v>
      </c>
      <c r="G170" s="3">
        <v>200</v>
      </c>
      <c r="H170" s="3">
        <v>1</v>
      </c>
      <c r="I170" s="3" t="s">
        <v>25</v>
      </c>
      <c r="J170" s="3">
        <v>6.39</v>
      </c>
      <c r="K170" s="14">
        <v>2.75</v>
      </c>
      <c r="L170" s="14">
        <v>1</v>
      </c>
      <c r="M170" s="14">
        <v>2.75</v>
      </c>
      <c r="N170" s="3" t="s">
        <v>17</v>
      </c>
      <c r="O170" s="3"/>
      <c r="P170">
        <f t="shared" si="10"/>
        <v>1.5123171988893902</v>
      </c>
      <c r="Q170">
        <f t="shared" si="5"/>
        <v>1.2979718470312345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4" x14ac:dyDescent="0.15">
      <c r="A171" s="2">
        <v>45592</v>
      </c>
      <c r="B171" s="3">
        <v>20</v>
      </c>
      <c r="C171" s="3">
        <v>12</v>
      </c>
      <c r="D171" s="3" t="s">
        <v>16</v>
      </c>
      <c r="E171" s="3" t="s">
        <v>24</v>
      </c>
      <c r="F171" s="3">
        <v>1000</v>
      </c>
      <c r="G171" s="3">
        <v>200</v>
      </c>
      <c r="H171" s="3">
        <v>2</v>
      </c>
      <c r="I171" s="3" t="s">
        <v>25</v>
      </c>
      <c r="J171" s="3">
        <v>5.88</v>
      </c>
      <c r="K171" s="14">
        <v>2.75</v>
      </c>
      <c r="L171" s="14">
        <v>1</v>
      </c>
      <c r="M171" s="14">
        <v>2.75</v>
      </c>
      <c r="N171" s="3" t="s">
        <v>17</v>
      </c>
      <c r="O171" s="3"/>
      <c r="P171">
        <f t="shared" si="10"/>
        <v>1.8421203402182809</v>
      </c>
      <c r="Q171">
        <f t="shared" si="5"/>
        <v>0.86346144759572485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4" x14ac:dyDescent="0.15">
      <c r="A172" s="2">
        <v>45592</v>
      </c>
      <c r="B172" s="3">
        <v>20</v>
      </c>
      <c r="C172" s="3">
        <v>12</v>
      </c>
      <c r="D172" s="3" t="s">
        <v>16</v>
      </c>
      <c r="E172" s="3" t="s">
        <v>24</v>
      </c>
      <c r="F172" s="3">
        <v>1000</v>
      </c>
      <c r="G172" s="3">
        <v>200</v>
      </c>
      <c r="H172" s="3">
        <v>3</v>
      </c>
      <c r="I172" s="3" t="s">
        <v>25</v>
      </c>
      <c r="J172" s="3">
        <v>6.16</v>
      </c>
      <c r="K172" s="14">
        <v>2.75</v>
      </c>
      <c r="L172" s="14">
        <v>1</v>
      </c>
      <c r="M172" s="14">
        <v>2.75</v>
      </c>
      <c r="N172" s="3" t="s">
        <v>17</v>
      </c>
      <c r="O172" s="3"/>
      <c r="P172">
        <f t="shared" si="10"/>
        <v>1.7121976890172641</v>
      </c>
      <c r="Q172">
        <f t="shared" si="5"/>
        <v>0.95502868717880096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4" x14ac:dyDescent="0.15">
      <c r="A173" s="2">
        <v>45592</v>
      </c>
      <c r="B173" s="3">
        <v>20</v>
      </c>
      <c r="C173" s="3">
        <v>12</v>
      </c>
      <c r="D173" s="3" t="s">
        <v>16</v>
      </c>
      <c r="E173" s="3" t="s">
        <v>27</v>
      </c>
      <c r="F173" s="3">
        <v>1250</v>
      </c>
      <c r="G173" s="3">
        <v>1250</v>
      </c>
      <c r="H173" s="3">
        <v>1</v>
      </c>
      <c r="I173" s="3" t="s">
        <v>25</v>
      </c>
      <c r="J173" s="3">
        <v>5.71</v>
      </c>
      <c r="K173" s="14">
        <v>2.75</v>
      </c>
      <c r="L173" s="14">
        <v>1</v>
      </c>
      <c r="M173" s="14">
        <v>2.75</v>
      </c>
      <c r="N173" s="3" t="s">
        <v>17</v>
      </c>
      <c r="O173" s="3"/>
      <c r="P173">
        <f t="shared" ref="P173:P178" si="11">LOG(J173/K95,2)</f>
        <v>1.0540591269508208</v>
      </c>
      <c r="Q173">
        <f t="shared" si="5"/>
        <v>3.7174836477775255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4" x14ac:dyDescent="0.15">
      <c r="A174" s="2">
        <v>45592</v>
      </c>
      <c r="B174" s="3">
        <v>20</v>
      </c>
      <c r="C174" s="3">
        <v>12</v>
      </c>
      <c r="D174" s="3" t="s">
        <v>16</v>
      </c>
      <c r="E174" s="3" t="s">
        <v>27</v>
      </c>
      <c r="F174" s="3">
        <v>1250</v>
      </c>
      <c r="G174" s="3">
        <v>1250</v>
      </c>
      <c r="H174" s="3">
        <v>2</v>
      </c>
      <c r="I174" s="3" t="s">
        <v>25</v>
      </c>
      <c r="J174" s="3">
        <v>6.09</v>
      </c>
      <c r="K174" s="14">
        <v>2.75</v>
      </c>
      <c r="L174" s="14">
        <v>1</v>
      </c>
      <c r="M174" s="14">
        <v>2.75</v>
      </c>
      <c r="N174" s="3" t="s">
        <v>17</v>
      </c>
      <c r="O174" s="3"/>
      <c r="P174">
        <f t="shared" si="11"/>
        <v>1.1470106094943104</v>
      </c>
      <c r="Q174">
        <f t="shared" si="5"/>
        <v>4.5300556855382066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4" x14ac:dyDescent="0.15">
      <c r="A175" s="2">
        <v>45592</v>
      </c>
      <c r="B175" s="3">
        <v>20</v>
      </c>
      <c r="C175" s="3">
        <v>12</v>
      </c>
      <c r="D175" s="3" t="s">
        <v>16</v>
      </c>
      <c r="E175" s="3" t="s">
        <v>27</v>
      </c>
      <c r="F175" s="3">
        <v>1250</v>
      </c>
      <c r="G175" s="3">
        <v>1250</v>
      </c>
      <c r="H175" s="3">
        <v>3</v>
      </c>
      <c r="I175" s="3" t="s">
        <v>25</v>
      </c>
      <c r="J175" s="3">
        <v>5.6</v>
      </c>
      <c r="K175" s="14">
        <v>2.75</v>
      </c>
      <c r="L175" s="14">
        <v>1</v>
      </c>
      <c r="M175" s="14">
        <v>2.75</v>
      </c>
      <c r="N175" s="3" t="s">
        <v>17</v>
      </c>
      <c r="O175" s="3"/>
      <c r="P175">
        <f t="shared" si="11"/>
        <v>1.0259952085329445</v>
      </c>
      <c r="Q175">
        <f t="shared" si="5"/>
        <v>4.3752290486848491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4" x14ac:dyDescent="0.15">
      <c r="A176" s="2">
        <v>45592</v>
      </c>
      <c r="B176" s="3">
        <v>20</v>
      </c>
      <c r="C176" s="3">
        <v>12</v>
      </c>
      <c r="D176" s="3" t="s">
        <v>16</v>
      </c>
      <c r="E176" s="3" t="s">
        <v>27</v>
      </c>
      <c r="F176" s="3">
        <v>5000</v>
      </c>
      <c r="G176" s="3">
        <v>0</v>
      </c>
      <c r="H176" s="3">
        <v>1</v>
      </c>
      <c r="I176" s="3" t="s">
        <v>25</v>
      </c>
      <c r="J176" s="3">
        <v>3.64</v>
      </c>
      <c r="K176" s="3">
        <v>3.64</v>
      </c>
      <c r="L176" s="3"/>
      <c r="M176" s="3"/>
      <c r="N176" s="3" t="s">
        <v>17</v>
      </c>
      <c r="O176" s="3"/>
      <c r="P176">
        <f t="shared" si="11"/>
        <v>1.8960320801338251</v>
      </c>
      <c r="Q176">
        <f t="shared" si="5"/>
        <v>0.40450683178667446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4" x14ac:dyDescent="0.15">
      <c r="A177" s="2">
        <v>45592</v>
      </c>
      <c r="B177" s="3">
        <v>20</v>
      </c>
      <c r="C177" s="3">
        <v>12</v>
      </c>
      <c r="D177" s="3" t="s">
        <v>16</v>
      </c>
      <c r="E177" s="3" t="s">
        <v>27</v>
      </c>
      <c r="F177" s="3">
        <v>5000</v>
      </c>
      <c r="G177" s="3">
        <v>0</v>
      </c>
      <c r="H177" s="3">
        <v>2</v>
      </c>
      <c r="I177" s="3" t="s">
        <v>25</v>
      </c>
      <c r="J177" s="3">
        <v>3.31</v>
      </c>
      <c r="K177" s="3">
        <v>3.31</v>
      </c>
      <c r="L177" s="3"/>
      <c r="M177" s="3"/>
      <c r="N177" s="3" t="s">
        <v>17</v>
      </c>
      <c r="O177" s="3"/>
      <c r="P177">
        <f t="shared" si="11"/>
        <v>2.1246594262791136</v>
      </c>
      <c r="Q177">
        <f t="shared" si="5"/>
        <v>0.26739959839519556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4" x14ac:dyDescent="0.15">
      <c r="A178" s="2">
        <v>45592</v>
      </c>
      <c r="B178" s="3">
        <v>20</v>
      </c>
      <c r="C178" s="3">
        <v>12</v>
      </c>
      <c r="D178" s="3" t="s">
        <v>16</v>
      </c>
      <c r="E178" s="3" t="s">
        <v>27</v>
      </c>
      <c r="F178" s="3">
        <v>5000</v>
      </c>
      <c r="G178" s="3">
        <v>0</v>
      </c>
      <c r="H178" s="3">
        <v>3</v>
      </c>
      <c r="I178" s="3" t="s">
        <v>25</v>
      </c>
      <c r="J178" s="3">
        <v>3.66</v>
      </c>
      <c r="K178" s="3">
        <v>3.66</v>
      </c>
      <c r="L178" s="3"/>
      <c r="M178" s="3"/>
      <c r="N178" s="3" t="s">
        <v>17</v>
      </c>
      <c r="O178" s="3"/>
      <c r="P178">
        <f t="shared" si="11"/>
        <v>1.6577188431564704</v>
      </c>
      <c r="Q178">
        <f t="shared" si="5"/>
        <v>0.41241202987202064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4" x14ac:dyDescent="0.15">
      <c r="A179" s="2">
        <v>45592</v>
      </c>
      <c r="B179" s="3">
        <v>20</v>
      </c>
      <c r="C179" s="3">
        <v>12</v>
      </c>
      <c r="D179" s="3" t="s">
        <v>16</v>
      </c>
      <c r="E179" s="3" t="s">
        <v>28</v>
      </c>
      <c r="F179" s="3">
        <v>1500</v>
      </c>
      <c r="G179" s="3">
        <v>1500</v>
      </c>
      <c r="H179" s="3">
        <v>1</v>
      </c>
      <c r="I179" s="3" t="s">
        <v>25</v>
      </c>
      <c r="J179" s="3">
        <v>5.55</v>
      </c>
      <c r="K179" s="14">
        <v>2.75</v>
      </c>
      <c r="L179" s="14">
        <v>1</v>
      </c>
      <c r="M179" s="14">
        <v>2.75</v>
      </c>
      <c r="N179" s="3" t="s">
        <v>17</v>
      </c>
      <c r="O179" s="3"/>
      <c r="P179">
        <f>LOG(J179/K140,2)</f>
        <v>1.0130561528254463</v>
      </c>
      <c r="Q179">
        <f t="shared" si="5"/>
        <v>3.8938681093528396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4" x14ac:dyDescent="0.15">
      <c r="A180" s="2">
        <v>45592</v>
      </c>
      <c r="B180" s="3">
        <v>20</v>
      </c>
      <c r="C180" s="3">
        <v>12</v>
      </c>
      <c r="D180" s="3" t="s">
        <v>16</v>
      </c>
      <c r="E180" s="3" t="s">
        <v>28</v>
      </c>
      <c r="F180" s="3">
        <v>1500</v>
      </c>
      <c r="G180" s="3">
        <v>1500</v>
      </c>
      <c r="H180" s="3">
        <v>2</v>
      </c>
      <c r="I180" s="3" t="s">
        <v>25</v>
      </c>
      <c r="J180" s="3">
        <v>4.66</v>
      </c>
      <c r="K180" s="14">
        <v>2.75</v>
      </c>
      <c r="L180" s="14">
        <v>1</v>
      </c>
      <c r="M180" s="14">
        <v>2.75</v>
      </c>
      <c r="N180" s="3" t="s">
        <v>17</v>
      </c>
      <c r="O180" s="3"/>
      <c r="P180">
        <f>LOG(J180/K141,2)</f>
        <v>0.76089833624225822</v>
      </c>
      <c r="Q180">
        <f t="shared" si="5"/>
        <v>3.2765718403111936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4" x14ac:dyDescent="0.15">
      <c r="A181" s="2">
        <v>45592</v>
      </c>
      <c r="B181" s="3">
        <v>20</v>
      </c>
      <c r="C181" s="3">
        <v>12</v>
      </c>
      <c r="D181" s="3" t="s">
        <v>16</v>
      </c>
      <c r="E181" s="3" t="s">
        <v>28</v>
      </c>
      <c r="F181" s="3">
        <v>1500</v>
      </c>
      <c r="G181" s="3">
        <v>1500</v>
      </c>
      <c r="H181" s="3">
        <v>3</v>
      </c>
      <c r="I181" s="3" t="s">
        <v>25</v>
      </c>
      <c r="J181" s="3">
        <v>5.07</v>
      </c>
      <c r="K181" s="14">
        <v>2.75</v>
      </c>
      <c r="L181" s="14">
        <v>1</v>
      </c>
      <c r="M181" s="14">
        <v>2.75</v>
      </c>
      <c r="N181" s="3" t="s">
        <v>17</v>
      </c>
      <c r="O181" s="3"/>
      <c r="P181">
        <f>LOG(J181/K142,2)</f>
        <v>0.88255412859131865</v>
      </c>
      <c r="Q181">
        <f t="shared" si="5"/>
        <v>3.9127039318972399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4" x14ac:dyDescent="0.15">
      <c r="A182" s="2">
        <v>45592</v>
      </c>
      <c r="B182" s="3">
        <v>20</v>
      </c>
      <c r="C182" s="3">
        <v>12</v>
      </c>
      <c r="D182" s="3" t="s">
        <v>16</v>
      </c>
      <c r="E182" s="3" t="s">
        <v>28</v>
      </c>
      <c r="F182" s="3">
        <v>5000</v>
      </c>
      <c r="G182" s="3">
        <v>0</v>
      </c>
      <c r="H182" s="3">
        <v>1</v>
      </c>
      <c r="I182" s="3" t="s">
        <v>25</v>
      </c>
      <c r="J182" s="3"/>
      <c r="K182" s="3"/>
      <c r="L182" s="3"/>
      <c r="M182" s="3"/>
      <c r="N182" s="3" t="s">
        <v>17</v>
      </c>
      <c r="O182" s="3"/>
      <c r="Q182">
        <f t="shared" ref="Q182:Q245" si="12">P182+Q143</f>
        <v>-0.9434164716336324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4" x14ac:dyDescent="0.15">
      <c r="A183" s="2">
        <v>45592</v>
      </c>
      <c r="B183" s="3">
        <v>20</v>
      </c>
      <c r="C183" s="3">
        <v>12</v>
      </c>
      <c r="D183" s="3" t="s">
        <v>16</v>
      </c>
      <c r="E183" s="3" t="s">
        <v>28</v>
      </c>
      <c r="F183" s="3">
        <v>5000</v>
      </c>
      <c r="G183" s="3">
        <v>0</v>
      </c>
      <c r="H183" s="3">
        <v>2</v>
      </c>
      <c r="I183" s="3" t="s">
        <v>25</v>
      </c>
      <c r="J183" s="3"/>
      <c r="K183" s="3"/>
      <c r="L183" s="3"/>
      <c r="M183" s="3"/>
      <c r="N183" s="3" t="s">
        <v>17</v>
      </c>
      <c r="O183" s="3"/>
      <c r="Q183">
        <f t="shared" si="12"/>
        <v>-1.1963972128035034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4" x14ac:dyDescent="0.15">
      <c r="A184" s="2">
        <v>45592</v>
      </c>
      <c r="B184" s="3">
        <v>20</v>
      </c>
      <c r="C184" s="3">
        <v>12</v>
      </c>
      <c r="D184" s="3" t="s">
        <v>16</v>
      </c>
      <c r="E184" s="3" t="s">
        <v>28</v>
      </c>
      <c r="F184" s="3">
        <v>5000</v>
      </c>
      <c r="G184" s="3">
        <v>0</v>
      </c>
      <c r="H184" s="3">
        <v>3</v>
      </c>
      <c r="I184" s="3" t="s">
        <v>25</v>
      </c>
      <c r="J184" s="3"/>
      <c r="K184" s="3"/>
      <c r="L184" s="3"/>
      <c r="M184" s="3"/>
      <c r="N184" s="3" t="s">
        <v>17</v>
      </c>
      <c r="O184" s="3"/>
      <c r="Q184">
        <f t="shared" si="12"/>
        <v>-1.1375035237499349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4" x14ac:dyDescent="0.15">
      <c r="A185" s="2">
        <v>45592</v>
      </c>
      <c r="B185" s="3">
        <v>20</v>
      </c>
      <c r="C185" s="3">
        <v>12</v>
      </c>
      <c r="D185" s="3" t="s">
        <v>16</v>
      </c>
      <c r="E185" s="3" t="s">
        <v>29</v>
      </c>
      <c r="F185" s="3">
        <v>1000</v>
      </c>
      <c r="G185" s="3">
        <v>0</v>
      </c>
      <c r="H185" s="3">
        <v>1</v>
      </c>
      <c r="I185" s="3" t="s">
        <v>25</v>
      </c>
      <c r="J185" s="3"/>
      <c r="K185" s="3"/>
      <c r="L185" s="3"/>
      <c r="M185" s="3"/>
      <c r="N185" s="3" t="s">
        <v>17</v>
      </c>
      <c r="O185" s="3"/>
      <c r="Q185">
        <f t="shared" si="12"/>
        <v>-1.8046294928475071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4" x14ac:dyDescent="0.15">
      <c r="A186" s="2">
        <v>45592</v>
      </c>
      <c r="B186" s="3">
        <v>20</v>
      </c>
      <c r="C186" s="3">
        <v>12</v>
      </c>
      <c r="D186" s="3" t="s">
        <v>16</v>
      </c>
      <c r="E186" s="3" t="s">
        <v>29</v>
      </c>
      <c r="F186" s="3">
        <v>1000</v>
      </c>
      <c r="G186" s="3">
        <v>0</v>
      </c>
      <c r="H186" s="3">
        <v>2</v>
      </c>
      <c r="I186" s="3" t="s">
        <v>25</v>
      </c>
      <c r="J186" s="3"/>
      <c r="K186" s="3"/>
      <c r="L186" s="3"/>
      <c r="M186" s="3"/>
      <c r="N186" s="3" t="s">
        <v>17</v>
      </c>
      <c r="O186" s="3"/>
      <c r="Q186">
        <f t="shared" si="12"/>
        <v>-3.3353441534231063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4" x14ac:dyDescent="0.15">
      <c r="A187" s="2">
        <v>45592</v>
      </c>
      <c r="B187" s="3">
        <v>20</v>
      </c>
      <c r="C187" s="3">
        <v>12</v>
      </c>
      <c r="D187" s="3" t="s">
        <v>16</v>
      </c>
      <c r="E187" s="3" t="s">
        <v>29</v>
      </c>
      <c r="F187" s="3">
        <v>1000</v>
      </c>
      <c r="G187" s="3">
        <v>0</v>
      </c>
      <c r="H187" s="3">
        <v>3</v>
      </c>
      <c r="I187" s="3" t="s">
        <v>25</v>
      </c>
      <c r="J187" s="3"/>
      <c r="K187" s="3"/>
      <c r="L187" s="3"/>
      <c r="M187" s="3"/>
      <c r="N187" s="3" t="s">
        <v>17</v>
      </c>
      <c r="O187" s="3"/>
      <c r="Q187">
        <f t="shared" si="12"/>
        <v>-1.7739684730195671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4" x14ac:dyDescent="0.15">
      <c r="A188" s="2">
        <v>45592</v>
      </c>
      <c r="B188" s="3">
        <v>20</v>
      </c>
      <c r="C188" s="3">
        <v>12</v>
      </c>
      <c r="D188" s="3" t="s">
        <v>16</v>
      </c>
      <c r="E188" s="3" t="s">
        <v>29</v>
      </c>
      <c r="F188" s="3">
        <v>2500</v>
      </c>
      <c r="G188" s="3">
        <v>0</v>
      </c>
      <c r="H188" s="3">
        <v>1</v>
      </c>
      <c r="I188" s="3" t="s">
        <v>25</v>
      </c>
      <c r="J188" s="3"/>
      <c r="K188" s="3"/>
      <c r="L188" s="3"/>
      <c r="M188" s="3"/>
      <c r="N188" s="3" t="s">
        <v>17</v>
      </c>
      <c r="O188" s="3"/>
      <c r="Q188">
        <f t="shared" si="12"/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4" x14ac:dyDescent="0.15">
      <c r="A189" s="2">
        <v>45592</v>
      </c>
      <c r="B189" s="3">
        <v>20</v>
      </c>
      <c r="C189" s="3">
        <v>12</v>
      </c>
      <c r="D189" s="3" t="s">
        <v>16</v>
      </c>
      <c r="E189" s="3" t="s">
        <v>29</v>
      </c>
      <c r="F189" s="3">
        <v>2500</v>
      </c>
      <c r="G189" s="3">
        <v>0</v>
      </c>
      <c r="H189" s="3">
        <v>2</v>
      </c>
      <c r="I189" s="3" t="s">
        <v>25</v>
      </c>
      <c r="J189" s="3"/>
      <c r="K189" s="3"/>
      <c r="L189" s="3"/>
      <c r="M189" s="3"/>
      <c r="N189" s="3" t="s">
        <v>17</v>
      </c>
      <c r="O189" s="3"/>
      <c r="Q189">
        <f t="shared" si="12"/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4" x14ac:dyDescent="0.15">
      <c r="A190" s="2">
        <v>45592</v>
      </c>
      <c r="B190" s="3">
        <v>20</v>
      </c>
      <c r="C190" s="3">
        <v>12</v>
      </c>
      <c r="D190" s="3" t="s">
        <v>16</v>
      </c>
      <c r="E190" s="3" t="s">
        <v>29</v>
      </c>
      <c r="F190" s="3">
        <v>2500</v>
      </c>
      <c r="G190" s="3">
        <v>0</v>
      </c>
      <c r="H190" s="3">
        <v>3</v>
      </c>
      <c r="I190" s="3" t="s">
        <v>25</v>
      </c>
      <c r="J190" s="3"/>
      <c r="K190" s="3"/>
      <c r="L190" s="3"/>
      <c r="M190" s="3"/>
      <c r="N190" s="3" t="s">
        <v>17</v>
      </c>
      <c r="O190" s="3"/>
      <c r="Q190">
        <f t="shared" si="12"/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4" x14ac:dyDescent="0.15">
      <c r="A191" s="2">
        <v>45592</v>
      </c>
      <c r="B191" s="3">
        <v>20</v>
      </c>
      <c r="C191" s="3">
        <v>12</v>
      </c>
      <c r="D191" s="3" t="s">
        <v>16</v>
      </c>
      <c r="E191" s="3" t="s">
        <v>30</v>
      </c>
      <c r="F191" s="3">
        <v>2000</v>
      </c>
      <c r="G191" s="3">
        <v>2000</v>
      </c>
      <c r="H191" s="3">
        <v>1</v>
      </c>
      <c r="I191" s="3" t="s">
        <v>25</v>
      </c>
      <c r="J191" s="3">
        <v>3.27</v>
      </c>
      <c r="K191" s="3">
        <v>3.27</v>
      </c>
      <c r="L191" s="3"/>
      <c r="M191" s="3"/>
      <c r="N191" s="3" t="s">
        <v>17</v>
      </c>
      <c r="O191" s="3"/>
      <c r="P191">
        <f>LOG(J191/K152,2)</f>
        <v>0.24985901708606073</v>
      </c>
      <c r="Q191">
        <f t="shared" si="12"/>
        <v>2.3437233246693805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4" x14ac:dyDescent="0.15">
      <c r="A192" s="2">
        <v>45592</v>
      </c>
      <c r="B192" s="3">
        <v>20</v>
      </c>
      <c r="C192" s="3">
        <v>12</v>
      </c>
      <c r="D192" s="3" t="s">
        <v>16</v>
      </c>
      <c r="E192" s="3" t="s">
        <v>30</v>
      </c>
      <c r="F192" s="3">
        <v>2000</v>
      </c>
      <c r="G192" s="3">
        <v>2000</v>
      </c>
      <c r="H192" s="3">
        <v>2</v>
      </c>
      <c r="I192" s="3" t="s">
        <v>25</v>
      </c>
      <c r="J192" s="3">
        <v>3.54</v>
      </c>
      <c r="K192" s="3">
        <v>3.54</v>
      </c>
      <c r="L192" s="3"/>
      <c r="M192" s="3"/>
      <c r="N192" s="3" t="s">
        <v>17</v>
      </c>
      <c r="O192" s="3"/>
      <c r="P192">
        <f>LOG(J192/K153,2)</f>
        <v>0.36431774167097558</v>
      </c>
      <c r="Q192">
        <f t="shared" si="12"/>
        <v>2.7558339178171152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4" x14ac:dyDescent="0.15">
      <c r="A193" s="2">
        <v>45592</v>
      </c>
      <c r="B193" s="3">
        <v>20</v>
      </c>
      <c r="C193" s="3">
        <v>12</v>
      </c>
      <c r="D193" s="3" t="s">
        <v>16</v>
      </c>
      <c r="E193" s="3" t="s">
        <v>30</v>
      </c>
      <c r="F193" s="3">
        <v>2000</v>
      </c>
      <c r="G193" s="3">
        <v>2000</v>
      </c>
      <c r="H193" s="3">
        <v>3</v>
      </c>
      <c r="I193" s="3" t="s">
        <v>25</v>
      </c>
      <c r="J193" s="3">
        <v>3.82</v>
      </c>
      <c r="K193" s="3">
        <v>3.82</v>
      </c>
      <c r="L193" s="3"/>
      <c r="M193" s="3"/>
      <c r="N193" s="3" t="s">
        <v>17</v>
      </c>
      <c r="O193" s="3"/>
      <c r="P193">
        <f>LOG(J193/K154,2)</f>
        <v>0.47414101962372657</v>
      </c>
      <c r="Q193">
        <f t="shared" si="12"/>
        <v>2.5283433837065221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4" x14ac:dyDescent="0.15">
      <c r="A194" s="2">
        <v>45592</v>
      </c>
      <c r="B194" s="3">
        <v>20</v>
      </c>
      <c r="C194" s="3">
        <v>12</v>
      </c>
      <c r="D194" s="3" t="s">
        <v>16</v>
      </c>
      <c r="E194" s="3" t="s">
        <v>30</v>
      </c>
      <c r="F194" s="3">
        <v>15000</v>
      </c>
      <c r="G194" s="3">
        <v>4000</v>
      </c>
      <c r="H194" s="3">
        <v>1</v>
      </c>
      <c r="I194" s="3" t="s">
        <v>25</v>
      </c>
      <c r="J194" s="3">
        <v>4.37</v>
      </c>
      <c r="K194" s="14">
        <v>2.75</v>
      </c>
      <c r="L194" s="14">
        <v>1</v>
      </c>
      <c r="M194" s="14">
        <v>2.75</v>
      </c>
      <c r="N194" s="3" t="s">
        <v>17</v>
      </c>
      <c r="O194" s="3"/>
      <c r="P194">
        <f t="shared" ref="P194:P238" si="13">LOG(J194/K155,2)</f>
        <v>0.66820166108857648</v>
      </c>
      <c r="Q194">
        <f t="shared" si="12"/>
        <v>1.3330981774534809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4" x14ac:dyDescent="0.15">
      <c r="A195" s="2">
        <v>45592</v>
      </c>
      <c r="B195" s="3">
        <v>20</v>
      </c>
      <c r="C195" s="3">
        <v>12</v>
      </c>
      <c r="D195" s="3" t="s">
        <v>16</v>
      </c>
      <c r="E195" s="3" t="s">
        <v>30</v>
      </c>
      <c r="F195" s="3">
        <v>15000</v>
      </c>
      <c r="G195" s="3">
        <v>4000</v>
      </c>
      <c r="H195" s="3">
        <v>2</v>
      </c>
      <c r="I195" s="3" t="s">
        <v>25</v>
      </c>
      <c r="J195" s="3">
        <v>3.91</v>
      </c>
      <c r="K195" s="14">
        <v>2.75</v>
      </c>
      <c r="L195" s="14">
        <v>1</v>
      </c>
      <c r="M195" s="14">
        <v>2.75</v>
      </c>
      <c r="N195" s="3" t="s">
        <v>17</v>
      </c>
      <c r="O195" s="3"/>
      <c r="P195">
        <f t="shared" si="13"/>
        <v>0.50773698889533037</v>
      </c>
      <c r="Q195">
        <f t="shared" si="12"/>
        <v>1.1693207712193989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4" x14ac:dyDescent="0.15">
      <c r="A196" s="2">
        <v>45592</v>
      </c>
      <c r="B196" s="3">
        <v>20</v>
      </c>
      <c r="C196" s="3">
        <v>12</v>
      </c>
      <c r="D196" s="3" t="s">
        <v>16</v>
      </c>
      <c r="E196" s="3" t="s">
        <v>30</v>
      </c>
      <c r="F196" s="3">
        <v>15000</v>
      </c>
      <c r="G196" s="3">
        <v>4000</v>
      </c>
      <c r="H196" s="3">
        <v>3</v>
      </c>
      <c r="I196" s="3" t="s">
        <v>25</v>
      </c>
      <c r="J196" s="3">
        <v>4.2300000000000004</v>
      </c>
      <c r="K196" s="14">
        <v>2.75</v>
      </c>
      <c r="L196" s="14">
        <v>1</v>
      </c>
      <c r="M196" s="14">
        <v>2.75</v>
      </c>
      <c r="N196" s="3" t="s">
        <v>17</v>
      </c>
      <c r="O196" s="3"/>
      <c r="P196">
        <f t="shared" si="13"/>
        <v>0.62122604470792797</v>
      </c>
      <c r="Q196">
        <f t="shared" si="12"/>
        <v>1.3790251422913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4" x14ac:dyDescent="0.15">
      <c r="A197" s="2">
        <v>45592</v>
      </c>
      <c r="B197" s="3">
        <v>20</v>
      </c>
      <c r="C197" s="3">
        <v>12</v>
      </c>
      <c r="D197" s="3" t="s">
        <v>16</v>
      </c>
      <c r="E197" s="3" t="s">
        <v>31</v>
      </c>
      <c r="F197" s="3">
        <v>4000</v>
      </c>
      <c r="G197" s="3">
        <v>4000</v>
      </c>
      <c r="H197" s="3">
        <v>1</v>
      </c>
      <c r="I197" s="3" t="s">
        <v>25</v>
      </c>
      <c r="J197" s="3">
        <v>4.09</v>
      </c>
      <c r="K197" s="14">
        <v>2.75</v>
      </c>
      <c r="L197" s="14">
        <v>1</v>
      </c>
      <c r="M197" s="14">
        <v>2.75</v>
      </c>
      <c r="N197" s="3" t="s">
        <v>17</v>
      </c>
      <c r="O197" s="3"/>
      <c r="P197">
        <f>LOG(J197/K119,2)</f>
        <v>0.57266922452972691</v>
      </c>
      <c r="Q197">
        <f t="shared" si="12"/>
        <v>3.412957384669312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4" x14ac:dyDescent="0.15">
      <c r="A198" s="2">
        <v>45592</v>
      </c>
      <c r="B198" s="3">
        <v>20</v>
      </c>
      <c r="C198" s="3">
        <v>12</v>
      </c>
      <c r="D198" s="3" t="s">
        <v>16</v>
      </c>
      <c r="E198" s="3" t="s">
        <v>31</v>
      </c>
      <c r="F198" s="3">
        <v>4000</v>
      </c>
      <c r="G198" s="3">
        <v>4000</v>
      </c>
      <c r="H198" s="3">
        <v>2</v>
      </c>
      <c r="I198" s="3" t="s">
        <v>25</v>
      </c>
      <c r="J198" s="3">
        <v>6.4</v>
      </c>
      <c r="K198" s="14">
        <v>2.75</v>
      </c>
      <c r="L198" s="14">
        <v>1</v>
      </c>
      <c r="M198" s="14">
        <v>2.75</v>
      </c>
      <c r="N198" s="3" t="s">
        <v>17</v>
      </c>
      <c r="O198" s="3"/>
      <c r="P198">
        <f>LOG(J198/K120,2)</f>
        <v>1.2186402864753407</v>
      </c>
      <c r="Q198">
        <f t="shared" si="12"/>
        <v>4.4052887370738079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4" x14ac:dyDescent="0.15">
      <c r="A199" s="2">
        <v>45592</v>
      </c>
      <c r="B199" s="3">
        <v>20</v>
      </c>
      <c r="C199" s="3">
        <v>12</v>
      </c>
      <c r="D199" s="3" t="s">
        <v>16</v>
      </c>
      <c r="E199" s="3" t="s">
        <v>31</v>
      </c>
      <c r="F199" s="3">
        <v>4000</v>
      </c>
      <c r="G199" s="3">
        <v>4000</v>
      </c>
      <c r="H199" s="3">
        <v>3</v>
      </c>
      <c r="I199" s="3" t="s">
        <v>25</v>
      </c>
      <c r="J199" s="3">
        <v>3.8</v>
      </c>
      <c r="K199" s="14">
        <v>2.75</v>
      </c>
      <c r="L199" s="14">
        <v>1</v>
      </c>
      <c r="M199" s="14">
        <v>2.75</v>
      </c>
      <c r="N199" s="3" t="s">
        <v>17</v>
      </c>
      <c r="O199" s="3"/>
      <c r="P199">
        <f>LOG(J199/K121,2)</f>
        <v>0.46656779991892589</v>
      </c>
      <c r="Q199">
        <f t="shared" si="12"/>
        <v>3.4534615416148049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4" x14ac:dyDescent="0.15">
      <c r="A200" s="2">
        <v>45592</v>
      </c>
      <c r="B200" s="3">
        <v>20</v>
      </c>
      <c r="C200" s="3">
        <v>12</v>
      </c>
      <c r="D200" s="3" t="s">
        <v>16</v>
      </c>
      <c r="E200" s="3" t="s">
        <v>31</v>
      </c>
      <c r="F200" s="3">
        <v>8000</v>
      </c>
      <c r="G200" s="3">
        <v>8000</v>
      </c>
      <c r="H200" s="3">
        <v>1</v>
      </c>
      <c r="I200" s="3" t="s">
        <v>25</v>
      </c>
      <c r="J200" s="3">
        <v>5.85</v>
      </c>
      <c r="K200" s="14">
        <v>2.75</v>
      </c>
      <c r="L200" s="14">
        <v>1</v>
      </c>
      <c r="M200" s="14">
        <v>2.75</v>
      </c>
      <c r="N200" s="3" t="s">
        <v>17</v>
      </c>
      <c r="O200" s="3"/>
      <c r="P200">
        <f t="shared" si="13"/>
        <v>1.0890050060587446</v>
      </c>
      <c r="Q200">
        <f t="shared" si="12"/>
        <v>3.3628764488313143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4" x14ac:dyDescent="0.15">
      <c r="A201" s="2">
        <v>45592</v>
      </c>
      <c r="B201" s="3">
        <v>20</v>
      </c>
      <c r="C201" s="3">
        <v>12</v>
      </c>
      <c r="D201" s="3" t="s">
        <v>16</v>
      </c>
      <c r="E201" s="3" t="s">
        <v>31</v>
      </c>
      <c r="F201" s="3">
        <v>8000</v>
      </c>
      <c r="G201" s="3">
        <v>8000</v>
      </c>
      <c r="H201" s="3">
        <v>2</v>
      </c>
      <c r="I201" s="3" t="s">
        <v>25</v>
      </c>
      <c r="J201" s="3">
        <v>4.33</v>
      </c>
      <c r="K201" s="14">
        <v>2.75</v>
      </c>
      <c r="L201" s="14">
        <v>1</v>
      </c>
      <c r="M201" s="14">
        <v>2.75</v>
      </c>
      <c r="N201" s="3" t="s">
        <v>17</v>
      </c>
      <c r="O201" s="3"/>
      <c r="P201">
        <f t="shared" si="13"/>
        <v>1.374518922252673</v>
      </c>
      <c r="Q201">
        <f t="shared" si="12"/>
        <v>0.83704981676492995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4" x14ac:dyDescent="0.15">
      <c r="A202" s="2">
        <v>45592</v>
      </c>
      <c r="B202" s="3">
        <v>20</v>
      </c>
      <c r="C202" s="3">
        <v>12</v>
      </c>
      <c r="D202" s="3" t="s">
        <v>16</v>
      </c>
      <c r="E202" s="3" t="s">
        <v>31</v>
      </c>
      <c r="F202" s="3">
        <v>8000</v>
      </c>
      <c r="G202" s="3">
        <v>8000</v>
      </c>
      <c r="H202" s="3">
        <v>3</v>
      </c>
      <c r="I202" s="3" t="s">
        <v>25</v>
      </c>
      <c r="J202" s="3">
        <v>7.19</v>
      </c>
      <c r="K202" s="14">
        <v>2.75</v>
      </c>
      <c r="L202" s="14">
        <v>1</v>
      </c>
      <c r="M202" s="14">
        <v>2.75</v>
      </c>
      <c r="N202" s="3" t="s">
        <v>17</v>
      </c>
      <c r="O202" s="3"/>
      <c r="P202">
        <f t="shared" si="13"/>
        <v>0.8973909231712176</v>
      </c>
      <c r="Q202">
        <f t="shared" si="12"/>
        <v>1.9450504413872409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4" x14ac:dyDescent="0.15">
      <c r="A203" s="2">
        <v>45592</v>
      </c>
      <c r="B203" s="3">
        <v>20</v>
      </c>
      <c r="C203" s="3">
        <v>12</v>
      </c>
      <c r="D203" s="3" t="s">
        <v>16</v>
      </c>
      <c r="E203" s="3" t="s">
        <v>32</v>
      </c>
      <c r="F203" s="5">
        <v>0.01</v>
      </c>
      <c r="G203" s="5">
        <v>0.01</v>
      </c>
      <c r="H203" s="3">
        <v>1</v>
      </c>
      <c r="I203" s="3" t="s">
        <v>25</v>
      </c>
      <c r="J203" s="3">
        <v>7.85</v>
      </c>
      <c r="K203" s="14">
        <v>2.75</v>
      </c>
      <c r="L203" s="14">
        <v>1</v>
      </c>
      <c r="M203" s="14">
        <v>2.75</v>
      </c>
      <c r="N203" s="3" t="s">
        <v>17</v>
      </c>
      <c r="O203" s="3"/>
      <c r="P203">
        <f t="shared" si="13"/>
        <v>1.5132610353669675</v>
      </c>
      <c r="Q203">
        <f t="shared" si="12"/>
        <v>5.213538486173384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4" x14ac:dyDescent="0.15">
      <c r="A204" s="2">
        <v>45592</v>
      </c>
      <c r="B204" s="3">
        <v>20</v>
      </c>
      <c r="C204" s="3">
        <v>12</v>
      </c>
      <c r="D204" s="3" t="s">
        <v>16</v>
      </c>
      <c r="E204" s="3" t="s">
        <v>32</v>
      </c>
      <c r="F204" s="5">
        <v>0.01</v>
      </c>
      <c r="G204" s="5">
        <v>0.01</v>
      </c>
      <c r="H204" s="3">
        <v>2</v>
      </c>
      <c r="I204" s="3" t="s">
        <v>25</v>
      </c>
      <c r="J204" s="3">
        <v>6.83</v>
      </c>
      <c r="K204" s="14">
        <v>2.75</v>
      </c>
      <c r="L204" s="14">
        <v>1</v>
      </c>
      <c r="M204" s="14">
        <v>2.75</v>
      </c>
      <c r="N204" s="3" t="s">
        <v>17</v>
      </c>
      <c r="O204" s="3"/>
      <c r="P204">
        <f t="shared" si="13"/>
        <v>1.3124539598780687</v>
      </c>
      <c r="Q204">
        <f t="shared" si="12"/>
        <v>5.2955938542156566</v>
      </c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4" x14ac:dyDescent="0.15">
      <c r="A205" s="2">
        <v>45592</v>
      </c>
      <c r="B205" s="3">
        <v>20</v>
      </c>
      <c r="C205" s="3">
        <v>12</v>
      </c>
      <c r="D205" s="3" t="s">
        <v>16</v>
      </c>
      <c r="E205" s="3" t="s">
        <v>32</v>
      </c>
      <c r="F205" s="5">
        <v>0.01</v>
      </c>
      <c r="G205" s="5">
        <v>0.01</v>
      </c>
      <c r="H205" s="3">
        <v>3</v>
      </c>
      <c r="I205" s="3" t="s">
        <v>25</v>
      </c>
      <c r="J205" s="3">
        <v>8.0399999999999991</v>
      </c>
      <c r="K205" s="14">
        <v>2.75</v>
      </c>
      <c r="L205" s="14">
        <v>1</v>
      </c>
      <c r="M205" s="14">
        <v>2.75</v>
      </c>
      <c r="N205" s="3" t="s">
        <v>17</v>
      </c>
      <c r="O205" s="3"/>
      <c r="P205">
        <f t="shared" si="13"/>
        <v>1.5477638827669067</v>
      </c>
      <c r="Q205">
        <f t="shared" si="12"/>
        <v>6.0139021361507723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4" x14ac:dyDescent="0.15">
      <c r="A206" s="2">
        <v>45595</v>
      </c>
      <c r="B206" s="3">
        <v>23</v>
      </c>
      <c r="C206" s="3">
        <v>15</v>
      </c>
      <c r="D206" s="3" t="s">
        <v>16</v>
      </c>
      <c r="E206" s="3" t="s">
        <v>24</v>
      </c>
      <c r="F206" s="3">
        <v>100</v>
      </c>
      <c r="G206" s="3">
        <v>100</v>
      </c>
      <c r="H206" s="3">
        <v>1</v>
      </c>
      <c r="I206" s="3" t="s">
        <v>25</v>
      </c>
      <c r="J206" s="3">
        <v>5.95</v>
      </c>
      <c r="K206" s="14">
        <v>2.75</v>
      </c>
      <c r="L206" s="14">
        <v>1</v>
      </c>
      <c r="M206" s="14">
        <v>2.75</v>
      </c>
      <c r="N206" s="3" t="s">
        <v>17</v>
      </c>
      <c r="O206" s="3"/>
      <c r="P206">
        <f t="shared" si="13"/>
        <v>1.113458049783284</v>
      </c>
      <c r="Q206">
        <f t="shared" si="12"/>
        <v>3.0900978117066362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4" x14ac:dyDescent="0.15">
      <c r="A207" s="2">
        <v>45595</v>
      </c>
      <c r="B207" s="3">
        <v>23</v>
      </c>
      <c r="C207" s="3">
        <v>15</v>
      </c>
      <c r="D207" s="3" t="s">
        <v>16</v>
      </c>
      <c r="E207" s="3" t="s">
        <v>24</v>
      </c>
      <c r="F207" s="3">
        <v>100</v>
      </c>
      <c r="G207" s="3">
        <v>100</v>
      </c>
      <c r="H207" s="3">
        <v>2</v>
      </c>
      <c r="I207" s="3" t="s">
        <v>25</v>
      </c>
      <c r="J207" s="3">
        <v>6.43</v>
      </c>
      <c r="K207" s="14">
        <v>2.75</v>
      </c>
      <c r="L207" s="14">
        <v>1</v>
      </c>
      <c r="M207" s="14">
        <v>2.75</v>
      </c>
      <c r="N207" s="3" t="s">
        <v>17</v>
      </c>
      <c r="O207" s="3"/>
      <c r="P207">
        <f t="shared" si="13"/>
        <v>1.2253871189159253</v>
      </c>
      <c r="Q207">
        <f t="shared" si="12"/>
        <v>3.8026928159701159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4" x14ac:dyDescent="0.15">
      <c r="A208" s="2">
        <v>45595</v>
      </c>
      <c r="B208" s="3">
        <v>23</v>
      </c>
      <c r="C208" s="3">
        <v>15</v>
      </c>
      <c r="D208" s="3" t="s">
        <v>16</v>
      </c>
      <c r="E208" s="3" t="s">
        <v>24</v>
      </c>
      <c r="F208" s="3">
        <v>100</v>
      </c>
      <c r="G208" s="3">
        <v>100</v>
      </c>
      <c r="H208" s="3">
        <v>3</v>
      </c>
      <c r="I208" s="3" t="s">
        <v>25</v>
      </c>
      <c r="J208" s="3">
        <v>6.03</v>
      </c>
      <c r="K208" s="14">
        <v>2.75</v>
      </c>
      <c r="L208" s="14">
        <v>1</v>
      </c>
      <c r="M208" s="14">
        <v>2.75</v>
      </c>
      <c r="N208" s="3" t="s">
        <v>17</v>
      </c>
      <c r="O208" s="3"/>
      <c r="P208">
        <f t="shared" si="13"/>
        <v>1.132726383488063</v>
      </c>
      <c r="Q208">
        <f t="shared" si="12"/>
        <v>3.4009141761552137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4" x14ac:dyDescent="0.15">
      <c r="A209" s="2">
        <v>45595</v>
      </c>
      <c r="B209" s="3">
        <v>23</v>
      </c>
      <c r="C209" s="3">
        <v>15</v>
      </c>
      <c r="D209" s="3" t="s">
        <v>16</v>
      </c>
      <c r="E209" s="3" t="s">
        <v>24</v>
      </c>
      <c r="F209" s="3">
        <v>1000</v>
      </c>
      <c r="G209" s="3">
        <v>200</v>
      </c>
      <c r="H209" s="3">
        <v>1</v>
      </c>
      <c r="I209" s="3" t="s">
        <v>25</v>
      </c>
      <c r="J209" s="3">
        <v>4.88</v>
      </c>
      <c r="K209" s="14">
        <v>2.75</v>
      </c>
      <c r="L209" s="14">
        <v>1</v>
      </c>
      <c r="M209" s="14">
        <v>2.75</v>
      </c>
      <c r="N209" s="3" t="s">
        <v>17</v>
      </c>
      <c r="O209" s="3"/>
      <c r="P209">
        <f t="shared" si="13"/>
        <v>0.82744952915086434</v>
      </c>
      <c r="Q209">
        <f t="shared" si="12"/>
        <v>2.125421376182099</v>
      </c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4" x14ac:dyDescent="0.15">
      <c r="A210" s="2">
        <v>45595</v>
      </c>
      <c r="B210" s="3">
        <v>23</v>
      </c>
      <c r="C210" s="3">
        <v>15</v>
      </c>
      <c r="D210" s="3" t="s">
        <v>16</v>
      </c>
      <c r="E210" s="3" t="s">
        <v>24</v>
      </c>
      <c r="F210" s="3">
        <v>1000</v>
      </c>
      <c r="G210" s="3">
        <v>200</v>
      </c>
      <c r="H210" s="3">
        <v>2</v>
      </c>
      <c r="I210" s="3" t="s">
        <v>25</v>
      </c>
      <c r="J210" s="3">
        <v>3.62</v>
      </c>
      <c r="K210" s="14">
        <v>2.75</v>
      </c>
      <c r="L210" s="14">
        <v>1</v>
      </c>
      <c r="M210" s="14">
        <v>2.75</v>
      </c>
      <c r="N210" s="3" t="s">
        <v>17</v>
      </c>
      <c r="O210" s="3"/>
      <c r="P210">
        <f t="shared" si="13"/>
        <v>0.39655807867118348</v>
      </c>
      <c r="Q210">
        <f t="shared" si="12"/>
        <v>1.2600195262669083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4" x14ac:dyDescent="0.15">
      <c r="A211" s="2">
        <v>45595</v>
      </c>
      <c r="B211" s="3">
        <v>23</v>
      </c>
      <c r="C211" s="3">
        <v>15</v>
      </c>
      <c r="D211" s="3" t="s">
        <v>16</v>
      </c>
      <c r="E211" s="3" t="s">
        <v>24</v>
      </c>
      <c r="F211" s="3">
        <v>1000</v>
      </c>
      <c r="G211" s="3">
        <v>200</v>
      </c>
      <c r="H211" s="3">
        <v>3</v>
      </c>
      <c r="I211" s="3" t="s">
        <v>25</v>
      </c>
      <c r="J211" s="3">
        <v>4.58</v>
      </c>
      <c r="K211" s="14">
        <v>2.75</v>
      </c>
      <c r="L211" s="14">
        <v>1</v>
      </c>
      <c r="M211" s="14">
        <v>2.75</v>
      </c>
      <c r="N211" s="3" t="s">
        <v>17</v>
      </c>
      <c r="O211" s="3"/>
      <c r="P211">
        <f t="shared" si="13"/>
        <v>0.73591597968492206</v>
      </c>
      <c r="Q211">
        <f t="shared" si="12"/>
        <v>1.6909446668637229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4" x14ac:dyDescent="0.15">
      <c r="A212" s="2">
        <v>45595</v>
      </c>
      <c r="B212" s="3">
        <v>23</v>
      </c>
      <c r="C212" s="3">
        <v>15</v>
      </c>
      <c r="D212" s="3" t="s">
        <v>16</v>
      </c>
      <c r="E212" s="3" t="s">
        <v>27</v>
      </c>
      <c r="F212" s="3">
        <v>1250</v>
      </c>
      <c r="G212" s="3">
        <v>1250</v>
      </c>
      <c r="H212" s="3">
        <v>1</v>
      </c>
      <c r="I212" s="3" t="s">
        <v>25</v>
      </c>
      <c r="J212" s="3">
        <v>7.32</v>
      </c>
      <c r="K212" s="14">
        <v>2.75</v>
      </c>
      <c r="L212" s="14">
        <v>1</v>
      </c>
      <c r="M212" s="14">
        <v>2.75</v>
      </c>
      <c r="N212" s="3" t="s">
        <v>17</v>
      </c>
      <c r="O212" s="3"/>
      <c r="P212">
        <f t="shared" si="13"/>
        <v>1.4124120298720206</v>
      </c>
      <c r="Q212">
        <f t="shared" si="12"/>
        <v>5.1298956776495466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4" x14ac:dyDescent="0.15">
      <c r="A213" s="2">
        <v>45595</v>
      </c>
      <c r="B213" s="3">
        <v>23</v>
      </c>
      <c r="C213" s="3">
        <v>15</v>
      </c>
      <c r="D213" s="3" t="s">
        <v>16</v>
      </c>
      <c r="E213" s="3" t="s">
        <v>27</v>
      </c>
      <c r="F213" s="3">
        <v>1250</v>
      </c>
      <c r="G213" s="3">
        <v>1250</v>
      </c>
      <c r="H213" s="3">
        <v>2</v>
      </c>
      <c r="I213" s="3" t="s">
        <v>25</v>
      </c>
      <c r="J213" s="3">
        <v>7.91</v>
      </c>
      <c r="K213" s="14">
        <v>2.75</v>
      </c>
      <c r="L213" s="14">
        <v>1</v>
      </c>
      <c r="M213" s="14">
        <v>2.75</v>
      </c>
      <c r="N213" s="3" t="s">
        <v>17</v>
      </c>
      <c r="O213" s="3"/>
      <c r="P213">
        <f t="shared" si="13"/>
        <v>1.5242460760607699</v>
      </c>
      <c r="Q213">
        <f t="shared" si="12"/>
        <v>6.0543017615989765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4" x14ac:dyDescent="0.15">
      <c r="A214" s="2">
        <v>45595</v>
      </c>
      <c r="B214" s="3">
        <v>23</v>
      </c>
      <c r="C214" s="3">
        <v>15</v>
      </c>
      <c r="D214" s="3" t="s">
        <v>16</v>
      </c>
      <c r="E214" s="3" t="s">
        <v>27</v>
      </c>
      <c r="F214" s="3">
        <v>1250</v>
      </c>
      <c r="G214" s="3">
        <v>1250</v>
      </c>
      <c r="H214" s="3">
        <v>3</v>
      </c>
      <c r="I214" s="3" t="s">
        <v>25</v>
      </c>
      <c r="J214" s="3">
        <v>6.36</v>
      </c>
      <c r="K214" s="14">
        <v>2.75</v>
      </c>
      <c r="L214" s="14">
        <v>1</v>
      </c>
      <c r="M214" s="14">
        <v>2.75</v>
      </c>
      <c r="N214" s="3" t="s">
        <v>17</v>
      </c>
      <c r="O214" s="3"/>
      <c r="P214">
        <f t="shared" si="13"/>
        <v>1.2095951468723336</v>
      </c>
      <c r="Q214">
        <f t="shared" si="12"/>
        <v>5.5848241955571822</v>
      </c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4" x14ac:dyDescent="0.15">
      <c r="A215" s="2">
        <v>45595</v>
      </c>
      <c r="B215" s="3">
        <v>23</v>
      </c>
      <c r="C215" s="3">
        <v>15</v>
      </c>
      <c r="D215" s="3" t="s">
        <v>16</v>
      </c>
      <c r="E215" s="3" t="s">
        <v>27</v>
      </c>
      <c r="F215" s="3">
        <v>5000</v>
      </c>
      <c r="G215" s="3">
        <v>2000</v>
      </c>
      <c r="H215" s="3">
        <v>1</v>
      </c>
      <c r="I215" s="3" t="s">
        <v>25</v>
      </c>
      <c r="J215" s="3">
        <v>9.64</v>
      </c>
      <c r="K215" s="14">
        <v>2.75</v>
      </c>
      <c r="L215" s="14">
        <v>1</v>
      </c>
      <c r="M215" s="14">
        <v>2.75</v>
      </c>
      <c r="N215" s="3" t="s">
        <v>17</v>
      </c>
      <c r="O215" s="3"/>
      <c r="P215">
        <f t="shared" si="13"/>
        <v>1.4050946960312654</v>
      </c>
      <c r="Q215">
        <f t="shared" si="12"/>
        <v>1.8096015278179398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4" x14ac:dyDescent="0.15">
      <c r="A216" s="2">
        <v>45595</v>
      </c>
      <c r="B216" s="3">
        <v>23</v>
      </c>
      <c r="C216" s="3">
        <v>15</v>
      </c>
      <c r="D216" s="3" t="s">
        <v>16</v>
      </c>
      <c r="E216" s="3" t="s">
        <v>27</v>
      </c>
      <c r="F216" s="3">
        <v>5000</v>
      </c>
      <c r="G216" s="3">
        <v>2000</v>
      </c>
      <c r="H216" s="3">
        <v>2</v>
      </c>
      <c r="I216" s="3" t="s">
        <v>25</v>
      </c>
      <c r="J216" s="3">
        <v>9.49</v>
      </c>
      <c r="K216" s="14">
        <v>2.75</v>
      </c>
      <c r="L216" s="14">
        <v>1</v>
      </c>
      <c r="M216" s="14">
        <v>2.75</v>
      </c>
      <c r="N216" s="3" t="s">
        <v>17</v>
      </c>
      <c r="O216" s="3"/>
      <c r="P216">
        <f t="shared" si="13"/>
        <v>1.5195768702138919</v>
      </c>
      <c r="Q216">
        <f t="shared" si="12"/>
        <v>1.7869764686090874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4" x14ac:dyDescent="0.15">
      <c r="A217" s="2">
        <v>45595</v>
      </c>
      <c r="B217" s="3">
        <v>23</v>
      </c>
      <c r="C217" s="3">
        <v>15</v>
      </c>
      <c r="D217" s="3" t="s">
        <v>16</v>
      </c>
      <c r="E217" s="3" t="s">
        <v>27</v>
      </c>
      <c r="F217" s="3">
        <v>5000</v>
      </c>
      <c r="G217" s="3">
        <v>2000</v>
      </c>
      <c r="H217" s="3">
        <v>3</v>
      </c>
      <c r="I217" s="3" t="s">
        <v>25</v>
      </c>
      <c r="J217" s="3">
        <v>7.99</v>
      </c>
      <c r="K217" s="14">
        <v>2.75</v>
      </c>
      <c r="L217" s="14">
        <v>1</v>
      </c>
      <c r="M217" s="14">
        <v>2.75</v>
      </c>
      <c r="N217" s="3" t="s">
        <v>17</v>
      </c>
      <c r="O217" s="3"/>
      <c r="P217">
        <f t="shared" si="13"/>
        <v>1.1263518546439344</v>
      </c>
      <c r="Q217">
        <f t="shared" si="12"/>
        <v>1.538763884515955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4" x14ac:dyDescent="0.15">
      <c r="A218" s="2">
        <v>45595</v>
      </c>
      <c r="B218" s="3">
        <v>23</v>
      </c>
      <c r="C218" s="3">
        <v>15</v>
      </c>
      <c r="D218" s="3" t="s">
        <v>16</v>
      </c>
      <c r="E218" s="3" t="s">
        <v>28</v>
      </c>
      <c r="F218" s="3">
        <v>1500</v>
      </c>
      <c r="G218" s="3">
        <v>1500</v>
      </c>
      <c r="H218" s="3">
        <v>1</v>
      </c>
      <c r="I218" s="3" t="s">
        <v>25</v>
      </c>
      <c r="J218" s="3">
        <v>5.97</v>
      </c>
      <c r="K218" s="14">
        <v>2.75</v>
      </c>
      <c r="L218" s="14">
        <v>1</v>
      </c>
      <c r="M218" s="14">
        <v>2.75</v>
      </c>
      <c r="N218" s="3" t="s">
        <v>17</v>
      </c>
      <c r="O218" s="3"/>
      <c r="P218">
        <f t="shared" si="13"/>
        <v>1.1182993128527832</v>
      </c>
      <c r="Q218">
        <f t="shared" si="12"/>
        <v>5.0121674222056232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4" x14ac:dyDescent="0.15">
      <c r="A219" s="2">
        <v>45595</v>
      </c>
      <c r="B219" s="3">
        <v>23</v>
      </c>
      <c r="C219" s="3">
        <v>15</v>
      </c>
      <c r="D219" s="3" t="s">
        <v>16</v>
      </c>
      <c r="E219" s="3" t="s">
        <v>28</v>
      </c>
      <c r="F219" s="3">
        <v>1500</v>
      </c>
      <c r="G219" s="3">
        <v>1500</v>
      </c>
      <c r="H219" s="3">
        <v>2</v>
      </c>
      <c r="I219" s="3" t="s">
        <v>25</v>
      </c>
      <c r="J219" s="3">
        <v>6.09</v>
      </c>
      <c r="K219" s="14">
        <v>2.75</v>
      </c>
      <c r="L219" s="14">
        <v>1</v>
      </c>
      <c r="M219" s="14">
        <v>2.75</v>
      </c>
      <c r="N219" s="3" t="s">
        <v>17</v>
      </c>
      <c r="O219" s="3"/>
      <c r="P219">
        <f t="shared" si="13"/>
        <v>1.1470106094943104</v>
      </c>
      <c r="Q219">
        <f t="shared" si="12"/>
        <v>4.4235824498055045</v>
      </c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4" x14ac:dyDescent="0.15">
      <c r="A220" s="2">
        <v>45595</v>
      </c>
      <c r="B220" s="3">
        <v>23</v>
      </c>
      <c r="C220" s="3">
        <v>15</v>
      </c>
      <c r="D220" s="3" t="s">
        <v>16</v>
      </c>
      <c r="E220" s="3" t="s">
        <v>28</v>
      </c>
      <c r="F220" s="3">
        <v>1500</v>
      </c>
      <c r="G220" s="3">
        <v>1500</v>
      </c>
      <c r="H220" s="3">
        <v>3</v>
      </c>
      <c r="I220" s="3" t="s">
        <v>25</v>
      </c>
      <c r="J220" s="3">
        <v>5.68</v>
      </c>
      <c r="K220" s="14">
        <v>2.75</v>
      </c>
      <c r="L220" s="14">
        <v>1</v>
      </c>
      <c r="M220" s="14">
        <v>2.75</v>
      </c>
      <c r="N220" s="3" t="s">
        <v>17</v>
      </c>
      <c r="O220" s="3"/>
      <c r="P220">
        <f t="shared" si="13"/>
        <v>1.0464593110926601</v>
      </c>
      <c r="Q220">
        <f t="shared" si="12"/>
        <v>4.9591632429899004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4" x14ac:dyDescent="0.15">
      <c r="A221" s="2">
        <v>45595</v>
      </c>
      <c r="B221" s="3">
        <v>23</v>
      </c>
      <c r="C221" s="3">
        <v>15</v>
      </c>
      <c r="D221" s="3" t="s">
        <v>16</v>
      </c>
      <c r="E221" s="3" t="s">
        <v>28</v>
      </c>
      <c r="F221" s="3">
        <v>5000</v>
      </c>
      <c r="G221" s="3">
        <v>0</v>
      </c>
      <c r="H221" s="3">
        <v>1</v>
      </c>
      <c r="I221" s="3" t="s">
        <v>25</v>
      </c>
      <c r="J221" s="3"/>
      <c r="K221" s="3"/>
      <c r="L221" s="3"/>
      <c r="M221" s="3"/>
      <c r="N221" s="3"/>
      <c r="O221" s="3"/>
      <c r="Q221">
        <f t="shared" si="12"/>
        <v>-0.9434164716336324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4" x14ac:dyDescent="0.15">
      <c r="A222" s="2">
        <v>45595</v>
      </c>
      <c r="B222" s="3">
        <v>23</v>
      </c>
      <c r="C222" s="3">
        <v>15</v>
      </c>
      <c r="D222" s="3" t="s">
        <v>16</v>
      </c>
      <c r="E222" s="3" t="s">
        <v>28</v>
      </c>
      <c r="F222" s="3">
        <v>5000</v>
      </c>
      <c r="G222" s="3">
        <v>0</v>
      </c>
      <c r="H222" s="3">
        <v>2</v>
      </c>
      <c r="I222" s="3" t="s">
        <v>25</v>
      </c>
      <c r="J222" s="3"/>
      <c r="K222" s="3"/>
      <c r="L222" s="3"/>
      <c r="M222" s="3"/>
      <c r="N222" s="3"/>
      <c r="O222" s="3"/>
      <c r="Q222">
        <f t="shared" si="12"/>
        <v>-1.1963972128035034</v>
      </c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4" x14ac:dyDescent="0.15">
      <c r="A223" s="2">
        <v>45595</v>
      </c>
      <c r="B223" s="3">
        <v>23</v>
      </c>
      <c r="C223" s="3">
        <v>15</v>
      </c>
      <c r="D223" s="3" t="s">
        <v>16</v>
      </c>
      <c r="E223" s="3" t="s">
        <v>28</v>
      </c>
      <c r="F223" s="3">
        <v>5000</v>
      </c>
      <c r="G223" s="3">
        <v>0</v>
      </c>
      <c r="H223" s="3">
        <v>3</v>
      </c>
      <c r="I223" s="3" t="s">
        <v>25</v>
      </c>
      <c r="J223" s="3"/>
      <c r="K223" s="3"/>
      <c r="L223" s="3"/>
      <c r="M223" s="3"/>
      <c r="N223" s="3"/>
      <c r="O223" s="3"/>
      <c r="Q223">
        <f t="shared" si="12"/>
        <v>-1.1375035237499349</v>
      </c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4" x14ac:dyDescent="0.15">
      <c r="A224" s="2">
        <v>45595</v>
      </c>
      <c r="B224" s="3">
        <v>23</v>
      </c>
      <c r="C224" s="3">
        <v>15</v>
      </c>
      <c r="D224" s="3" t="s">
        <v>16</v>
      </c>
      <c r="E224" s="3" t="s">
        <v>29</v>
      </c>
      <c r="F224" s="3">
        <v>1000</v>
      </c>
      <c r="G224" s="3">
        <v>0</v>
      </c>
      <c r="H224" s="3">
        <v>1</v>
      </c>
      <c r="I224" s="3" t="s">
        <v>25</v>
      </c>
      <c r="J224" s="3"/>
      <c r="K224" s="3"/>
      <c r="L224" s="3"/>
      <c r="M224" s="3"/>
      <c r="N224" s="3"/>
      <c r="O224" s="3"/>
      <c r="Q224">
        <f t="shared" si="12"/>
        <v>-1.8046294928475071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4" x14ac:dyDescent="0.15">
      <c r="A225" s="2">
        <v>45595</v>
      </c>
      <c r="B225" s="3">
        <v>23</v>
      </c>
      <c r="C225" s="3">
        <v>15</v>
      </c>
      <c r="D225" s="3" t="s">
        <v>16</v>
      </c>
      <c r="E225" s="3" t="s">
        <v>29</v>
      </c>
      <c r="F225" s="3">
        <v>1000</v>
      </c>
      <c r="G225" s="3">
        <v>0</v>
      </c>
      <c r="H225" s="3">
        <v>2</v>
      </c>
      <c r="I225" s="3" t="s">
        <v>25</v>
      </c>
      <c r="J225" s="3"/>
      <c r="K225" s="3"/>
      <c r="L225" s="3"/>
      <c r="M225" s="3"/>
      <c r="N225" s="3"/>
      <c r="O225" s="3"/>
      <c r="Q225">
        <f t="shared" si="12"/>
        <v>-3.3353441534231063</v>
      </c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4" x14ac:dyDescent="0.15">
      <c r="A226" s="2">
        <v>45595</v>
      </c>
      <c r="B226" s="3">
        <v>23</v>
      </c>
      <c r="C226" s="3">
        <v>15</v>
      </c>
      <c r="D226" s="3" t="s">
        <v>16</v>
      </c>
      <c r="E226" s="3" t="s">
        <v>29</v>
      </c>
      <c r="F226" s="3">
        <v>1000</v>
      </c>
      <c r="G226" s="3">
        <v>0</v>
      </c>
      <c r="H226" s="3">
        <v>3</v>
      </c>
      <c r="I226" s="3" t="s">
        <v>25</v>
      </c>
      <c r="J226" s="3"/>
      <c r="K226" s="3"/>
      <c r="L226" s="3"/>
      <c r="M226" s="3"/>
      <c r="N226" s="3"/>
      <c r="O226" s="3"/>
      <c r="Q226">
        <f t="shared" si="12"/>
        <v>-1.7739684730195671</v>
      </c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4" x14ac:dyDescent="0.15">
      <c r="A227" s="2">
        <v>45595</v>
      </c>
      <c r="B227" s="3">
        <v>23</v>
      </c>
      <c r="C227" s="3">
        <v>15</v>
      </c>
      <c r="D227" s="3" t="s">
        <v>16</v>
      </c>
      <c r="E227" s="3" t="s">
        <v>29</v>
      </c>
      <c r="F227" s="3">
        <v>2500</v>
      </c>
      <c r="G227" s="3">
        <v>0</v>
      </c>
      <c r="H227" s="3">
        <v>1</v>
      </c>
      <c r="I227" s="3" t="s">
        <v>25</v>
      </c>
      <c r="J227" s="3"/>
      <c r="K227" s="3"/>
      <c r="L227" s="3"/>
      <c r="M227" s="3"/>
      <c r="N227" s="3"/>
      <c r="O227" s="3"/>
      <c r="Q227">
        <f t="shared" si="12"/>
        <v>0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4" x14ac:dyDescent="0.15">
      <c r="A228" s="2">
        <v>45595</v>
      </c>
      <c r="B228" s="3">
        <v>23</v>
      </c>
      <c r="C228" s="3">
        <v>15</v>
      </c>
      <c r="D228" s="3" t="s">
        <v>16</v>
      </c>
      <c r="E228" s="3" t="s">
        <v>29</v>
      </c>
      <c r="F228" s="3">
        <v>2500</v>
      </c>
      <c r="G228" s="3">
        <v>0</v>
      </c>
      <c r="H228" s="3">
        <v>2</v>
      </c>
      <c r="I228" s="3" t="s">
        <v>25</v>
      </c>
      <c r="J228" s="3"/>
      <c r="K228" s="3"/>
      <c r="L228" s="3"/>
      <c r="M228" s="3"/>
      <c r="N228" s="3"/>
      <c r="O228" s="3"/>
      <c r="Q228">
        <f t="shared" si="12"/>
        <v>0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4" x14ac:dyDescent="0.15">
      <c r="A229" s="2">
        <v>45595</v>
      </c>
      <c r="B229" s="3">
        <v>23</v>
      </c>
      <c r="C229" s="3">
        <v>15</v>
      </c>
      <c r="D229" s="3" t="s">
        <v>16</v>
      </c>
      <c r="E229" s="3" t="s">
        <v>29</v>
      </c>
      <c r="F229" s="3">
        <v>2500</v>
      </c>
      <c r="G229" s="3">
        <v>0</v>
      </c>
      <c r="H229" s="3">
        <v>3</v>
      </c>
      <c r="I229" s="3" t="s">
        <v>25</v>
      </c>
      <c r="J229" s="3"/>
      <c r="K229" s="3"/>
      <c r="L229" s="3"/>
      <c r="M229" s="3"/>
      <c r="N229" s="3"/>
      <c r="O229" s="3"/>
      <c r="Q229">
        <f t="shared" si="12"/>
        <v>0</v>
      </c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4" x14ac:dyDescent="0.15">
      <c r="A230" s="2">
        <v>45595</v>
      </c>
      <c r="B230" s="3">
        <v>23</v>
      </c>
      <c r="C230" s="3">
        <v>15</v>
      </c>
      <c r="D230" s="3" t="s">
        <v>16</v>
      </c>
      <c r="E230" s="3" t="s">
        <v>30</v>
      </c>
      <c r="F230" s="3">
        <v>2000</v>
      </c>
      <c r="G230" s="3">
        <v>2000</v>
      </c>
      <c r="H230" s="3">
        <v>1</v>
      </c>
      <c r="I230" s="3" t="s">
        <v>25</v>
      </c>
      <c r="J230" s="3">
        <v>7.49</v>
      </c>
      <c r="K230" s="14">
        <v>2.75</v>
      </c>
      <c r="L230" s="14">
        <v>1</v>
      </c>
      <c r="M230" s="14">
        <v>2.75</v>
      </c>
      <c r="N230" s="3" t="s">
        <v>17</v>
      </c>
      <c r="O230" s="3"/>
      <c r="P230">
        <f t="shared" si="13"/>
        <v>1.1956750829606686</v>
      </c>
      <c r="Q230">
        <f t="shared" si="12"/>
        <v>3.5393984076300491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4" x14ac:dyDescent="0.15">
      <c r="A231" s="2">
        <v>45595</v>
      </c>
      <c r="B231" s="3">
        <v>23</v>
      </c>
      <c r="C231" s="3">
        <v>15</v>
      </c>
      <c r="D231" s="3" t="s">
        <v>16</v>
      </c>
      <c r="E231" s="3" t="s">
        <v>30</v>
      </c>
      <c r="F231" s="3">
        <v>2000</v>
      </c>
      <c r="G231" s="3">
        <v>2000</v>
      </c>
      <c r="H231" s="3">
        <v>2</v>
      </c>
      <c r="I231" s="3" t="s">
        <v>25</v>
      </c>
      <c r="J231" s="3">
        <v>7.44</v>
      </c>
      <c r="K231" s="14">
        <v>2.75</v>
      </c>
      <c r="L231" s="14">
        <v>1</v>
      </c>
      <c r="M231" s="14">
        <v>2.75</v>
      </c>
      <c r="N231" s="3" t="s">
        <v>17</v>
      </c>
      <c r="O231" s="3"/>
      <c r="P231">
        <f t="shared" si="13"/>
        <v>1.071553261025034</v>
      </c>
      <c r="Q231">
        <f t="shared" si="12"/>
        <v>3.827387178842149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4" x14ac:dyDescent="0.15">
      <c r="A232" s="2">
        <v>45595</v>
      </c>
      <c r="B232" s="3">
        <v>23</v>
      </c>
      <c r="C232" s="3">
        <v>15</v>
      </c>
      <c r="D232" s="3" t="s">
        <v>16</v>
      </c>
      <c r="E232" s="3" t="s">
        <v>30</v>
      </c>
      <c r="F232" s="3">
        <v>2000</v>
      </c>
      <c r="G232" s="3">
        <v>2000</v>
      </c>
      <c r="H232" s="3">
        <v>3</v>
      </c>
      <c r="I232" s="3" t="s">
        <v>25</v>
      </c>
      <c r="J232" s="3">
        <v>6.39</v>
      </c>
      <c r="K232" s="14">
        <v>2.75</v>
      </c>
      <c r="L232" s="14">
        <v>1</v>
      </c>
      <c r="M232" s="14">
        <v>2.75</v>
      </c>
      <c r="N232" s="3" t="s">
        <v>17</v>
      </c>
      <c r="O232" s="3"/>
      <c r="P232">
        <f t="shared" si="13"/>
        <v>0.74224329291124558</v>
      </c>
      <c r="Q232">
        <f t="shared" si="12"/>
        <v>3.2705866766177678</v>
      </c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4" x14ac:dyDescent="0.15">
      <c r="A233" s="2">
        <v>45595</v>
      </c>
      <c r="B233" s="3">
        <v>23</v>
      </c>
      <c r="C233" s="3">
        <v>15</v>
      </c>
      <c r="D233" s="3" t="s">
        <v>16</v>
      </c>
      <c r="E233" s="3" t="s">
        <v>30</v>
      </c>
      <c r="F233" s="3">
        <v>15000</v>
      </c>
      <c r="G233" s="3">
        <v>4000</v>
      </c>
      <c r="H233" s="3">
        <v>1</v>
      </c>
      <c r="I233" s="3" t="s">
        <v>25</v>
      </c>
      <c r="J233" s="3">
        <v>4.33</v>
      </c>
      <c r="K233" s="14">
        <v>2.75</v>
      </c>
      <c r="L233" s="14">
        <v>1</v>
      </c>
      <c r="M233" s="14">
        <v>2.75</v>
      </c>
      <c r="N233" s="3" t="s">
        <v>17</v>
      </c>
      <c r="O233" s="3"/>
      <c r="P233">
        <f t="shared" si="13"/>
        <v>0.65493540631470293</v>
      </c>
      <c r="Q233">
        <f t="shared" si="12"/>
        <v>1.9880335837681837</v>
      </c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4" x14ac:dyDescent="0.15">
      <c r="A234" s="2">
        <v>45595</v>
      </c>
      <c r="B234" s="3">
        <v>23</v>
      </c>
      <c r="C234" s="3">
        <v>15</v>
      </c>
      <c r="D234" s="3" t="s">
        <v>16</v>
      </c>
      <c r="E234" s="3" t="s">
        <v>30</v>
      </c>
      <c r="F234" s="3">
        <v>15000</v>
      </c>
      <c r="G234" s="3">
        <v>4000</v>
      </c>
      <c r="H234" s="3">
        <v>2</v>
      </c>
      <c r="I234" s="3" t="s">
        <v>25</v>
      </c>
      <c r="J234" s="3">
        <v>3.55</v>
      </c>
      <c r="K234" s="14">
        <v>2.75</v>
      </c>
      <c r="L234" s="14">
        <v>1</v>
      </c>
      <c r="M234" s="14">
        <v>2.75</v>
      </c>
      <c r="N234" s="3" t="s">
        <v>17</v>
      </c>
      <c r="O234" s="3"/>
      <c r="P234">
        <f t="shared" si="13"/>
        <v>0.36838740598002229</v>
      </c>
      <c r="Q234">
        <f t="shared" si="12"/>
        <v>1.5377081771994212</v>
      </c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4" x14ac:dyDescent="0.15">
      <c r="A235" s="2">
        <v>45595</v>
      </c>
      <c r="B235" s="3">
        <v>23</v>
      </c>
      <c r="C235" s="3">
        <v>15</v>
      </c>
      <c r="D235" s="3" t="s">
        <v>16</v>
      </c>
      <c r="E235" s="3" t="s">
        <v>30</v>
      </c>
      <c r="F235" s="3">
        <v>15000</v>
      </c>
      <c r="G235" s="3">
        <v>4000</v>
      </c>
      <c r="H235" s="3">
        <v>3</v>
      </c>
      <c r="I235" s="3" t="s">
        <v>25</v>
      </c>
      <c r="J235" s="3">
        <v>4.18</v>
      </c>
      <c r="K235" s="14">
        <v>2.75</v>
      </c>
      <c r="L235" s="14">
        <v>1</v>
      </c>
      <c r="M235" s="14">
        <v>2.75</v>
      </c>
      <c r="N235" s="3" t="s">
        <v>17</v>
      </c>
      <c r="O235" s="3"/>
      <c r="P235">
        <f t="shared" si="13"/>
        <v>0.60407132366886063</v>
      </c>
      <c r="Q235">
        <f t="shared" si="12"/>
        <v>1.9830964659601606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4" x14ac:dyDescent="0.15">
      <c r="A236" s="2">
        <v>45595</v>
      </c>
      <c r="B236" s="3">
        <v>23</v>
      </c>
      <c r="C236" s="3">
        <v>15</v>
      </c>
      <c r="D236" s="3" t="s">
        <v>16</v>
      </c>
      <c r="E236" s="3" t="s">
        <v>31</v>
      </c>
      <c r="F236" s="3">
        <v>4000</v>
      </c>
      <c r="G236" s="3">
        <v>4000</v>
      </c>
      <c r="H236" s="3">
        <v>1</v>
      </c>
      <c r="I236" s="3" t="s">
        <v>25</v>
      </c>
      <c r="J236" s="3">
        <v>4.8</v>
      </c>
      <c r="K236" s="14">
        <v>2.75</v>
      </c>
      <c r="L236" s="14">
        <v>1</v>
      </c>
      <c r="M236" s="14">
        <v>2.75</v>
      </c>
      <c r="N236" s="3" t="s">
        <v>17</v>
      </c>
      <c r="O236" s="3"/>
      <c r="P236">
        <f t="shared" si="13"/>
        <v>0.80360278719649647</v>
      </c>
      <c r="Q236">
        <f t="shared" si="12"/>
        <v>4.2165601718658081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4" x14ac:dyDescent="0.15">
      <c r="A237" s="2">
        <v>45595</v>
      </c>
      <c r="B237" s="3">
        <v>23</v>
      </c>
      <c r="C237" s="3">
        <v>15</v>
      </c>
      <c r="D237" s="3" t="s">
        <v>16</v>
      </c>
      <c r="E237" s="3" t="s">
        <v>31</v>
      </c>
      <c r="F237" s="3">
        <v>4000</v>
      </c>
      <c r="G237" s="3">
        <v>4000</v>
      </c>
      <c r="H237" s="3">
        <v>2</v>
      </c>
      <c r="I237" s="3" t="s">
        <v>25</v>
      </c>
      <c r="J237" s="3">
        <v>8.49</v>
      </c>
      <c r="K237" s="14">
        <v>2.75</v>
      </c>
      <c r="L237" s="14">
        <v>1</v>
      </c>
      <c r="M237" s="14">
        <v>2.75</v>
      </c>
      <c r="N237" s="3" t="s">
        <v>17</v>
      </c>
      <c r="O237" s="3"/>
      <c r="P237">
        <f t="shared" si="13"/>
        <v>1.6263329351410165</v>
      </c>
      <c r="Q237">
        <f t="shared" si="12"/>
        <v>6.0316216722148246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4" x14ac:dyDescent="0.15">
      <c r="A238" s="2">
        <v>45595</v>
      </c>
      <c r="B238" s="3">
        <v>23</v>
      </c>
      <c r="C238" s="3">
        <v>15</v>
      </c>
      <c r="D238" s="3" t="s">
        <v>16</v>
      </c>
      <c r="E238" s="3" t="s">
        <v>31</v>
      </c>
      <c r="F238" s="3">
        <v>4000</v>
      </c>
      <c r="G238" s="3">
        <v>4000</v>
      </c>
      <c r="H238" s="3">
        <v>3</v>
      </c>
      <c r="I238" s="3" t="s">
        <v>25</v>
      </c>
      <c r="J238" s="3">
        <v>4.53</v>
      </c>
      <c r="K238" s="14">
        <v>2.75</v>
      </c>
      <c r="L238" s="14">
        <v>1</v>
      </c>
      <c r="M238" s="14">
        <v>2.75</v>
      </c>
      <c r="N238" s="3" t="s">
        <v>17</v>
      </c>
      <c r="O238" s="3"/>
      <c r="P238">
        <f t="shared" si="13"/>
        <v>0.72007943163421329</v>
      </c>
      <c r="Q238">
        <f t="shared" si="12"/>
        <v>4.1735409732490183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4" x14ac:dyDescent="0.15">
      <c r="A239" s="2">
        <v>45595</v>
      </c>
      <c r="B239" s="3">
        <v>23</v>
      </c>
      <c r="C239" s="3">
        <v>15</v>
      </c>
      <c r="D239" s="3" t="s">
        <v>16</v>
      </c>
      <c r="E239" s="3" t="s">
        <v>31</v>
      </c>
      <c r="F239" s="3">
        <v>8000</v>
      </c>
      <c r="G239" s="3">
        <v>8000</v>
      </c>
      <c r="H239" s="3">
        <v>1</v>
      </c>
      <c r="I239" s="3" t="s">
        <v>25</v>
      </c>
      <c r="J239" s="3"/>
      <c r="K239" s="3"/>
      <c r="L239" s="3"/>
      <c r="M239" s="3"/>
      <c r="N239" s="3"/>
      <c r="O239" s="3" t="s">
        <v>45</v>
      </c>
      <c r="Q239">
        <f t="shared" si="12"/>
        <v>3.3628764488313143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4" x14ac:dyDescent="0.15">
      <c r="A240" s="2">
        <v>45595</v>
      </c>
      <c r="B240" s="3">
        <v>23</v>
      </c>
      <c r="C240" s="3">
        <v>15</v>
      </c>
      <c r="D240" s="3" t="s">
        <v>16</v>
      </c>
      <c r="E240" s="3" t="s">
        <v>31</v>
      </c>
      <c r="F240" s="3">
        <v>8000</v>
      </c>
      <c r="G240" s="3">
        <v>8000</v>
      </c>
      <c r="H240" s="3">
        <v>2</v>
      </c>
      <c r="I240" s="3" t="s">
        <v>25</v>
      </c>
      <c r="J240" s="3"/>
      <c r="K240" s="3"/>
      <c r="L240" s="3"/>
      <c r="M240" s="3"/>
      <c r="N240" s="3"/>
      <c r="O240" s="3" t="s">
        <v>45</v>
      </c>
      <c r="Q240">
        <f t="shared" si="12"/>
        <v>0.83704981676492995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4" x14ac:dyDescent="0.15">
      <c r="A241" s="2">
        <v>45595</v>
      </c>
      <c r="B241" s="3">
        <v>23</v>
      </c>
      <c r="C241" s="3">
        <v>15</v>
      </c>
      <c r="D241" s="3" t="s">
        <v>16</v>
      </c>
      <c r="E241" s="3" t="s">
        <v>31</v>
      </c>
      <c r="F241" s="3">
        <v>8000</v>
      </c>
      <c r="G241" s="3">
        <v>8000</v>
      </c>
      <c r="H241" s="3">
        <v>3</v>
      </c>
      <c r="I241" s="3" t="s">
        <v>25</v>
      </c>
      <c r="J241" s="3"/>
      <c r="K241" s="3"/>
      <c r="L241" s="3"/>
      <c r="M241" s="3"/>
      <c r="N241" s="3"/>
      <c r="O241" s="3" t="s">
        <v>45</v>
      </c>
      <c r="Q241">
        <f t="shared" si="12"/>
        <v>1.9450504413872409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4" x14ac:dyDescent="0.15">
      <c r="A242" s="2">
        <v>45595</v>
      </c>
      <c r="B242" s="3">
        <v>23</v>
      </c>
      <c r="C242" s="3">
        <v>15</v>
      </c>
      <c r="D242" s="3" t="s">
        <v>16</v>
      </c>
      <c r="E242" s="3" t="s">
        <v>32</v>
      </c>
      <c r="F242" s="5">
        <v>0.01</v>
      </c>
      <c r="G242" s="5">
        <v>0.01</v>
      </c>
      <c r="H242" s="3">
        <v>1</v>
      </c>
      <c r="I242" s="3" t="s">
        <v>25</v>
      </c>
      <c r="J242" s="3">
        <v>8.01</v>
      </c>
      <c r="K242" s="14">
        <v>2.75</v>
      </c>
      <c r="L242" s="14">
        <v>1</v>
      </c>
      <c r="M242" s="14">
        <v>2.75</v>
      </c>
      <c r="N242" s="3" t="s">
        <v>17</v>
      </c>
      <c r="O242" s="3"/>
      <c r="P242">
        <f t="shared" ref="P242:P298" si="14">LOG(J242/K203,2)</f>
        <v>1.5423706239966883</v>
      </c>
      <c r="Q242">
        <f t="shared" si="12"/>
        <v>6.7559091101700721</v>
      </c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4" x14ac:dyDescent="0.15">
      <c r="A243" s="2">
        <v>45595</v>
      </c>
      <c r="B243" s="3">
        <v>23</v>
      </c>
      <c r="C243" s="3">
        <v>15</v>
      </c>
      <c r="D243" s="3" t="s">
        <v>16</v>
      </c>
      <c r="E243" s="3" t="s">
        <v>32</v>
      </c>
      <c r="F243" s="5">
        <v>0.01</v>
      </c>
      <c r="G243" s="5">
        <v>0.01</v>
      </c>
      <c r="H243" s="3">
        <v>2</v>
      </c>
      <c r="I243" s="3" t="s">
        <v>25</v>
      </c>
      <c r="J243" s="3">
        <v>7.3</v>
      </c>
      <c r="K243" s="14">
        <v>2.75</v>
      </c>
      <c r="L243" s="14">
        <v>1</v>
      </c>
      <c r="M243" s="14">
        <v>2.75</v>
      </c>
      <c r="N243" s="3" t="s">
        <v>17</v>
      </c>
      <c r="O243" s="3"/>
      <c r="P243">
        <f t="shared" si="14"/>
        <v>1.4084648453553574</v>
      </c>
      <c r="Q243">
        <f t="shared" si="12"/>
        <v>6.7040586995710143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4" x14ac:dyDescent="0.15">
      <c r="A244" s="2">
        <v>45595</v>
      </c>
      <c r="B244" s="3">
        <v>23</v>
      </c>
      <c r="C244" s="3">
        <v>15</v>
      </c>
      <c r="D244" s="3" t="s">
        <v>16</v>
      </c>
      <c r="E244" s="3" t="s">
        <v>32</v>
      </c>
      <c r="F244" s="5">
        <v>0.01</v>
      </c>
      <c r="G244" s="5">
        <v>0.01</v>
      </c>
      <c r="H244" s="3">
        <v>3</v>
      </c>
      <c r="I244" s="3" t="s">
        <v>25</v>
      </c>
      <c r="J244" s="3">
        <v>8.2200000000000006</v>
      </c>
      <c r="K244" s="14">
        <v>2.75</v>
      </c>
      <c r="L244" s="14">
        <v>1</v>
      </c>
      <c r="M244" s="14">
        <v>2.75</v>
      </c>
      <c r="N244" s="3" t="s">
        <v>17</v>
      </c>
      <c r="O244" s="3"/>
      <c r="P244">
        <f t="shared" si="14"/>
        <v>1.579706775269661</v>
      </c>
      <c r="Q244">
        <f t="shared" si="12"/>
        <v>7.593608911420433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4" x14ac:dyDescent="0.15">
      <c r="A245" s="2">
        <v>45598</v>
      </c>
      <c r="B245" s="3">
        <v>26</v>
      </c>
      <c r="C245" s="3">
        <v>18</v>
      </c>
      <c r="D245" s="3" t="s">
        <v>16</v>
      </c>
      <c r="E245" s="3" t="s">
        <v>24</v>
      </c>
      <c r="F245" s="3">
        <v>100</v>
      </c>
      <c r="G245" s="3">
        <v>100</v>
      </c>
      <c r="H245" s="3">
        <v>1</v>
      </c>
      <c r="I245" s="3" t="s">
        <v>25</v>
      </c>
      <c r="J245" s="3">
        <v>6.58</v>
      </c>
      <c r="K245" s="14">
        <v>2.75</v>
      </c>
      <c r="L245" s="14">
        <v>1</v>
      </c>
      <c r="M245" s="14">
        <v>2.75</v>
      </c>
      <c r="N245" s="3" t="s">
        <v>17</v>
      </c>
      <c r="O245" s="3"/>
      <c r="P245">
        <f t="shared" si="14"/>
        <v>1.2586559653232194</v>
      </c>
      <c r="Q245">
        <f t="shared" si="12"/>
        <v>4.3487537770298559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4" x14ac:dyDescent="0.15">
      <c r="A246" s="2">
        <v>45598</v>
      </c>
      <c r="B246" s="3">
        <v>26</v>
      </c>
      <c r="C246" s="3">
        <v>18</v>
      </c>
      <c r="D246" s="3" t="s">
        <v>16</v>
      </c>
      <c r="E246" s="3" t="s">
        <v>24</v>
      </c>
      <c r="F246" s="3">
        <v>100</v>
      </c>
      <c r="G246" s="3">
        <v>100</v>
      </c>
      <c r="H246" s="3">
        <v>2</v>
      </c>
      <c r="I246" s="3" t="s">
        <v>25</v>
      </c>
      <c r="J246" s="3">
        <v>6.45</v>
      </c>
      <c r="K246" s="14">
        <v>2.75</v>
      </c>
      <c r="L246" s="14">
        <v>1</v>
      </c>
      <c r="M246" s="14">
        <v>2.75</v>
      </c>
      <c r="N246" s="3" t="s">
        <v>17</v>
      </c>
      <c r="O246" s="3"/>
      <c r="P246">
        <f t="shared" si="14"/>
        <v>1.2298675418985947</v>
      </c>
      <c r="Q246">
        <f t="shared" ref="Q246:Q309" si="15">P246+Q207</f>
        <v>5.0325603578687108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4" x14ac:dyDescent="0.15">
      <c r="A247" s="2">
        <v>45598</v>
      </c>
      <c r="B247" s="3">
        <v>26</v>
      </c>
      <c r="C247" s="3">
        <v>18</v>
      </c>
      <c r="D247" s="3" t="s">
        <v>16</v>
      </c>
      <c r="E247" s="3" t="s">
        <v>24</v>
      </c>
      <c r="F247" s="3">
        <v>100</v>
      </c>
      <c r="G247" s="3">
        <v>100</v>
      </c>
      <c r="H247" s="3">
        <v>3</v>
      </c>
      <c r="I247" s="3" t="s">
        <v>25</v>
      </c>
      <c r="J247" s="3">
        <v>6.04</v>
      </c>
      <c r="K247" s="14">
        <v>2.75</v>
      </c>
      <c r="L247" s="14">
        <v>1</v>
      </c>
      <c r="M247" s="14">
        <v>2.75</v>
      </c>
      <c r="N247" s="3" t="s">
        <v>17</v>
      </c>
      <c r="O247" s="3"/>
      <c r="P247">
        <f t="shared" si="14"/>
        <v>1.1351169309130569</v>
      </c>
      <c r="Q247">
        <f t="shared" si="15"/>
        <v>4.5360311070682702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4" x14ac:dyDescent="0.15">
      <c r="A248" s="2">
        <v>45598</v>
      </c>
      <c r="B248" s="3">
        <v>26</v>
      </c>
      <c r="C248" s="3">
        <v>18</v>
      </c>
      <c r="D248" s="3" t="s">
        <v>16</v>
      </c>
      <c r="E248" s="3" t="s">
        <v>24</v>
      </c>
      <c r="F248" s="3">
        <v>1000</v>
      </c>
      <c r="G248" s="3">
        <v>200</v>
      </c>
      <c r="H248" s="3">
        <v>1</v>
      </c>
      <c r="I248" s="3" t="s">
        <v>25</v>
      </c>
      <c r="J248" s="3">
        <v>6.16</v>
      </c>
      <c r="K248" s="14">
        <v>2.75</v>
      </c>
      <c r="L248" s="14">
        <v>1</v>
      </c>
      <c r="M248" s="14">
        <v>2.75</v>
      </c>
      <c r="N248" s="3" t="s">
        <v>17</v>
      </c>
      <c r="O248" s="3"/>
      <c r="P248">
        <f t="shared" si="14"/>
        <v>1.1634987322828796</v>
      </c>
      <c r="Q248">
        <f t="shared" si="15"/>
        <v>3.2889201084649784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4" x14ac:dyDescent="0.15">
      <c r="A249" s="2">
        <v>45598</v>
      </c>
      <c r="B249" s="3">
        <v>26</v>
      </c>
      <c r="C249" s="3">
        <v>18</v>
      </c>
      <c r="D249" s="3" t="s">
        <v>16</v>
      </c>
      <c r="E249" s="3" t="s">
        <v>24</v>
      </c>
      <c r="F249" s="3">
        <v>1000</v>
      </c>
      <c r="G249" s="3">
        <v>200</v>
      </c>
      <c r="H249" s="3">
        <v>2</v>
      </c>
      <c r="I249" s="3" t="s">
        <v>25</v>
      </c>
      <c r="J249" s="3">
        <v>6.19</v>
      </c>
      <c r="K249" s="14">
        <v>2.75</v>
      </c>
      <c r="L249" s="14">
        <v>1</v>
      </c>
      <c r="M249" s="14">
        <v>2.75</v>
      </c>
      <c r="N249" s="3" t="s">
        <v>17</v>
      </c>
      <c r="O249" s="3"/>
      <c r="P249">
        <f t="shared" si="14"/>
        <v>1.1705077908022428</v>
      </c>
      <c r="Q249">
        <f t="shared" si="15"/>
        <v>2.430527317069151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4" x14ac:dyDescent="0.15">
      <c r="A250" s="2">
        <v>45598</v>
      </c>
      <c r="B250" s="3">
        <v>26</v>
      </c>
      <c r="C250" s="3">
        <v>18</v>
      </c>
      <c r="D250" s="3" t="s">
        <v>16</v>
      </c>
      <c r="E250" s="3" t="s">
        <v>24</v>
      </c>
      <c r="F250" s="3">
        <v>1000</v>
      </c>
      <c r="G250" s="3">
        <v>200</v>
      </c>
      <c r="H250" s="3">
        <v>3</v>
      </c>
      <c r="I250" s="3" t="s">
        <v>25</v>
      </c>
      <c r="J250" s="3">
        <v>5.4</v>
      </c>
      <c r="K250" s="14">
        <v>2.75</v>
      </c>
      <c r="L250" s="14">
        <v>1</v>
      </c>
      <c r="M250" s="14">
        <v>2.75</v>
      </c>
      <c r="N250" s="3" t="s">
        <v>17</v>
      </c>
      <c r="O250" s="3"/>
      <c r="P250">
        <f t="shared" si="14"/>
        <v>0.97352778863880907</v>
      </c>
      <c r="Q250">
        <f t="shared" si="15"/>
        <v>2.6644724555025321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4" x14ac:dyDescent="0.15">
      <c r="A251" s="2">
        <v>45598</v>
      </c>
      <c r="B251" s="3">
        <v>26</v>
      </c>
      <c r="C251" s="3">
        <v>18</v>
      </c>
      <c r="D251" s="3" t="s">
        <v>16</v>
      </c>
      <c r="E251" s="3" t="s">
        <v>27</v>
      </c>
      <c r="F251" s="3">
        <v>1250</v>
      </c>
      <c r="G251" s="3">
        <v>1250</v>
      </c>
      <c r="H251" s="3">
        <v>1</v>
      </c>
      <c r="I251" s="3" t="s">
        <v>25</v>
      </c>
      <c r="J251" s="3">
        <v>7.58</v>
      </c>
      <c r="K251" s="14">
        <v>2.75</v>
      </c>
      <c r="L251" s="14">
        <v>1</v>
      </c>
      <c r="M251" s="14">
        <v>2.75</v>
      </c>
      <c r="N251" s="3" t="s">
        <v>17</v>
      </c>
      <c r="O251" s="3"/>
      <c r="P251">
        <f t="shared" si="14"/>
        <v>1.46276622975907</v>
      </c>
      <c r="Q251">
        <f t="shared" si="15"/>
        <v>6.5926619074086164</v>
      </c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4" x14ac:dyDescent="0.15">
      <c r="A252" s="2">
        <v>45598</v>
      </c>
      <c r="B252" s="3">
        <v>26</v>
      </c>
      <c r="C252" s="3">
        <v>18</v>
      </c>
      <c r="D252" s="3" t="s">
        <v>16</v>
      </c>
      <c r="E252" s="3" t="s">
        <v>27</v>
      </c>
      <c r="F252" s="3">
        <v>1250</v>
      </c>
      <c r="G252" s="3">
        <v>1250</v>
      </c>
      <c r="H252" s="3">
        <v>2</v>
      </c>
      <c r="I252" s="3" t="s">
        <v>25</v>
      </c>
      <c r="J252" s="3">
        <v>6.67</v>
      </c>
      <c r="K252" s="14">
        <v>2.75</v>
      </c>
      <c r="L252" s="14">
        <v>1</v>
      </c>
      <c r="M252" s="14">
        <v>2.75</v>
      </c>
      <c r="N252" s="3" t="s">
        <v>17</v>
      </c>
      <c r="O252" s="3"/>
      <c r="P252">
        <f t="shared" si="14"/>
        <v>1.278255142772563</v>
      </c>
      <c r="Q252">
        <f t="shared" si="15"/>
        <v>7.3325569043715397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4" x14ac:dyDescent="0.15">
      <c r="A253" s="2">
        <v>45598</v>
      </c>
      <c r="B253" s="3">
        <v>26</v>
      </c>
      <c r="C253" s="3">
        <v>18</v>
      </c>
      <c r="D253" s="3" t="s">
        <v>16</v>
      </c>
      <c r="E253" s="3" t="s">
        <v>27</v>
      </c>
      <c r="F253" s="3">
        <v>1250</v>
      </c>
      <c r="G253" s="3">
        <v>1250</v>
      </c>
      <c r="H253" s="3">
        <v>3</v>
      </c>
      <c r="I253" s="3" t="s">
        <v>25</v>
      </c>
      <c r="J253" s="3">
        <v>6.54</v>
      </c>
      <c r="K253" s="14">
        <v>2.75</v>
      </c>
      <c r="L253" s="14">
        <v>1</v>
      </c>
      <c r="M253" s="14">
        <v>2.75</v>
      </c>
      <c r="N253" s="3" t="s">
        <v>17</v>
      </c>
      <c r="O253" s="3"/>
      <c r="P253">
        <f t="shared" si="14"/>
        <v>1.2498590170860608</v>
      </c>
      <c r="Q253">
        <f t="shared" si="15"/>
        <v>6.8346832126432435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4" x14ac:dyDescent="0.15">
      <c r="A254" s="2">
        <v>45598</v>
      </c>
      <c r="B254" s="3">
        <v>26</v>
      </c>
      <c r="C254" s="3">
        <v>18</v>
      </c>
      <c r="D254" s="3" t="s">
        <v>16</v>
      </c>
      <c r="E254" s="3" t="s">
        <v>27</v>
      </c>
      <c r="F254" s="3">
        <v>5000</v>
      </c>
      <c r="G254" s="3">
        <v>2000</v>
      </c>
      <c r="H254" s="3">
        <v>1</v>
      </c>
      <c r="I254" s="3" t="s">
        <v>25</v>
      </c>
      <c r="J254" s="3">
        <v>4.97</v>
      </c>
      <c r="K254" s="14">
        <v>2.75</v>
      </c>
      <c r="L254" s="14">
        <v>1</v>
      </c>
      <c r="M254" s="14">
        <v>2.75</v>
      </c>
      <c r="N254" s="3" t="s">
        <v>17</v>
      </c>
      <c r="O254" s="3"/>
      <c r="P254">
        <f t="shared" si="14"/>
        <v>0.85381423315026417</v>
      </c>
      <c r="Q254">
        <f t="shared" si="15"/>
        <v>2.6634157609682041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4" x14ac:dyDescent="0.15">
      <c r="A255" s="2">
        <v>45598</v>
      </c>
      <c r="B255" s="3">
        <v>26</v>
      </c>
      <c r="C255" s="3">
        <v>18</v>
      </c>
      <c r="D255" s="3" t="s">
        <v>16</v>
      </c>
      <c r="E255" s="3" t="s">
        <v>27</v>
      </c>
      <c r="F255" s="3">
        <v>5000</v>
      </c>
      <c r="G255" s="3">
        <v>2000</v>
      </c>
      <c r="H255" s="3">
        <v>2</v>
      </c>
      <c r="I255" s="3" t="s">
        <v>25</v>
      </c>
      <c r="J255" s="3">
        <v>4.28</v>
      </c>
      <c r="K255" s="14">
        <v>2.75</v>
      </c>
      <c r="L255" s="14">
        <v>1</v>
      </c>
      <c r="M255" s="14">
        <v>2.75</v>
      </c>
      <c r="N255" s="3" t="s">
        <v>17</v>
      </c>
      <c r="O255" s="3"/>
      <c r="P255">
        <f t="shared" si="14"/>
        <v>0.63817917798912505</v>
      </c>
      <c r="Q255">
        <f t="shared" si="15"/>
        <v>2.4251556465982125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4" x14ac:dyDescent="0.15">
      <c r="A256" s="2">
        <v>45598</v>
      </c>
      <c r="B256" s="3">
        <v>26</v>
      </c>
      <c r="C256" s="3">
        <v>18</v>
      </c>
      <c r="D256" s="3" t="s">
        <v>16</v>
      </c>
      <c r="E256" s="3" t="s">
        <v>27</v>
      </c>
      <c r="F256" s="3">
        <v>5000</v>
      </c>
      <c r="G256" s="3">
        <v>2000</v>
      </c>
      <c r="H256" s="3">
        <v>3</v>
      </c>
      <c r="I256" s="3" t="s">
        <v>25</v>
      </c>
      <c r="J256" s="3">
        <v>5.1100000000000003</v>
      </c>
      <c r="K256" s="14">
        <v>2.75</v>
      </c>
      <c r="L256" s="14">
        <v>1</v>
      </c>
      <c r="M256" s="14">
        <v>2.75</v>
      </c>
      <c r="N256" s="3" t="s">
        <v>17</v>
      </c>
      <c r="O256" s="3"/>
      <c r="P256">
        <f>LOG(J256/K217,2)</f>
        <v>0.89389167252559965</v>
      </c>
      <c r="Q256">
        <f t="shared" si="15"/>
        <v>2.4326555570415547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4" x14ac:dyDescent="0.15">
      <c r="A257" s="2">
        <v>45598</v>
      </c>
      <c r="B257" s="3">
        <v>26</v>
      </c>
      <c r="C257" s="3">
        <v>18</v>
      </c>
      <c r="D257" s="3" t="s">
        <v>16</v>
      </c>
      <c r="E257" s="3" t="s">
        <v>28</v>
      </c>
      <c r="F257" s="3">
        <v>1500</v>
      </c>
      <c r="G257" s="3">
        <v>1500</v>
      </c>
      <c r="H257" s="3">
        <v>1</v>
      </c>
      <c r="I257" s="3" t="s">
        <v>25</v>
      </c>
      <c r="J257" s="3">
        <v>5.84</v>
      </c>
      <c r="K257" s="14">
        <v>2.75</v>
      </c>
      <c r="L257" s="14">
        <v>1</v>
      </c>
      <c r="M257" s="14">
        <v>2.75</v>
      </c>
      <c r="N257" s="3" t="s">
        <v>17</v>
      </c>
      <c r="O257" s="3"/>
      <c r="P257">
        <f t="shared" si="14"/>
        <v>1.0865367504679952</v>
      </c>
      <c r="Q257">
        <f t="shared" si="15"/>
        <v>6.0987041726736182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4" x14ac:dyDescent="0.15">
      <c r="A258" s="2">
        <v>45598</v>
      </c>
      <c r="B258" s="3">
        <v>26</v>
      </c>
      <c r="C258" s="3">
        <v>18</v>
      </c>
      <c r="D258" s="3" t="s">
        <v>16</v>
      </c>
      <c r="E258" s="3" t="s">
        <v>28</v>
      </c>
      <c r="F258" s="3">
        <v>1500</v>
      </c>
      <c r="G258" s="3">
        <v>1500</v>
      </c>
      <c r="H258" s="3">
        <v>2</v>
      </c>
      <c r="I258" s="3" t="s">
        <v>25</v>
      </c>
      <c r="J258" s="3">
        <v>6.03</v>
      </c>
      <c r="K258" s="14">
        <v>2.75</v>
      </c>
      <c r="L258" s="14">
        <v>1</v>
      </c>
      <c r="M258" s="14">
        <v>2.75</v>
      </c>
      <c r="N258" s="3" t="s">
        <v>17</v>
      </c>
      <c r="O258" s="3"/>
      <c r="P258">
        <f t="shared" si="14"/>
        <v>1.132726383488063</v>
      </c>
      <c r="Q258">
        <f t="shared" si="15"/>
        <v>5.5563088332935671</v>
      </c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4" x14ac:dyDescent="0.15">
      <c r="A259" s="2">
        <v>45598</v>
      </c>
      <c r="B259" s="3">
        <v>26</v>
      </c>
      <c r="C259" s="3">
        <v>18</v>
      </c>
      <c r="D259" s="3" t="s">
        <v>16</v>
      </c>
      <c r="E259" s="3" t="s">
        <v>28</v>
      </c>
      <c r="F259" s="3">
        <v>1500</v>
      </c>
      <c r="G259" s="3">
        <v>1500</v>
      </c>
      <c r="H259" s="3">
        <v>3</v>
      </c>
      <c r="I259" s="3" t="s">
        <v>25</v>
      </c>
      <c r="J259" s="3">
        <v>6.08</v>
      </c>
      <c r="K259" s="14">
        <v>2.75</v>
      </c>
      <c r="L259" s="14">
        <v>1</v>
      </c>
      <c r="M259" s="14">
        <v>2.75</v>
      </c>
      <c r="N259" s="3" t="s">
        <v>17</v>
      </c>
      <c r="O259" s="3"/>
      <c r="P259">
        <f t="shared" si="14"/>
        <v>1.1446397050315635</v>
      </c>
      <c r="Q259">
        <f t="shared" si="15"/>
        <v>6.1038029480214639</v>
      </c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4" x14ac:dyDescent="0.15">
      <c r="A260" s="2">
        <v>45598</v>
      </c>
      <c r="B260" s="3">
        <v>26</v>
      </c>
      <c r="C260" s="3">
        <v>18</v>
      </c>
      <c r="D260" s="3" t="s">
        <v>16</v>
      </c>
      <c r="E260" s="3" t="s">
        <v>28</v>
      </c>
      <c r="F260" s="3">
        <v>5000</v>
      </c>
      <c r="G260" s="3">
        <v>0</v>
      </c>
      <c r="H260" s="3">
        <v>1</v>
      </c>
      <c r="I260" s="3" t="s">
        <v>25</v>
      </c>
      <c r="J260" s="3"/>
      <c r="K260" s="3"/>
      <c r="L260" s="3"/>
      <c r="M260" s="3"/>
      <c r="N260" s="3"/>
      <c r="O260" s="3"/>
      <c r="Q260">
        <f t="shared" si="15"/>
        <v>-0.9434164716336324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4" x14ac:dyDescent="0.15">
      <c r="A261" s="2">
        <v>45598</v>
      </c>
      <c r="B261" s="3">
        <v>26</v>
      </c>
      <c r="C261" s="3">
        <v>18</v>
      </c>
      <c r="D261" s="3" t="s">
        <v>16</v>
      </c>
      <c r="E261" s="3" t="s">
        <v>28</v>
      </c>
      <c r="F261" s="3">
        <v>5000</v>
      </c>
      <c r="G261" s="3">
        <v>0</v>
      </c>
      <c r="H261" s="3">
        <v>2</v>
      </c>
      <c r="I261" s="3" t="s">
        <v>25</v>
      </c>
      <c r="J261" s="3"/>
      <c r="K261" s="3"/>
      <c r="L261" s="3"/>
      <c r="M261" s="3"/>
      <c r="N261" s="3"/>
      <c r="O261" s="3"/>
      <c r="Q261">
        <f t="shared" si="15"/>
        <v>-1.1963972128035034</v>
      </c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4" x14ac:dyDescent="0.15">
      <c r="A262" s="2">
        <v>45598</v>
      </c>
      <c r="B262" s="3">
        <v>26</v>
      </c>
      <c r="C262" s="3">
        <v>18</v>
      </c>
      <c r="D262" s="3" t="s">
        <v>16</v>
      </c>
      <c r="E262" s="3" t="s">
        <v>28</v>
      </c>
      <c r="F262" s="3">
        <v>5000</v>
      </c>
      <c r="G262" s="3">
        <v>0</v>
      </c>
      <c r="H262" s="3">
        <v>3</v>
      </c>
      <c r="I262" s="3" t="s">
        <v>25</v>
      </c>
      <c r="J262" s="3"/>
      <c r="K262" s="3"/>
      <c r="L262" s="3"/>
      <c r="M262" s="3"/>
      <c r="N262" s="3"/>
      <c r="O262" s="3"/>
      <c r="Q262">
        <f t="shared" si="15"/>
        <v>-1.1375035237499349</v>
      </c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4" x14ac:dyDescent="0.15">
      <c r="A263" s="2">
        <v>45598</v>
      </c>
      <c r="B263" s="3">
        <v>26</v>
      </c>
      <c r="C263" s="3">
        <v>18</v>
      </c>
      <c r="D263" s="3" t="s">
        <v>16</v>
      </c>
      <c r="E263" s="3" t="s">
        <v>29</v>
      </c>
      <c r="F263" s="3">
        <v>1000</v>
      </c>
      <c r="G263" s="3">
        <v>0</v>
      </c>
      <c r="H263" s="3">
        <v>1</v>
      </c>
      <c r="I263" s="3" t="s">
        <v>25</v>
      </c>
      <c r="J263" s="3"/>
      <c r="K263" s="3"/>
      <c r="L263" s="3"/>
      <c r="M263" s="3"/>
      <c r="N263" s="3"/>
      <c r="O263" s="3"/>
      <c r="Q263">
        <f t="shared" si="15"/>
        <v>-1.8046294928475071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4" x14ac:dyDescent="0.15">
      <c r="A264" s="2">
        <v>45598</v>
      </c>
      <c r="B264" s="3">
        <v>26</v>
      </c>
      <c r="C264" s="3">
        <v>18</v>
      </c>
      <c r="D264" s="3" t="s">
        <v>16</v>
      </c>
      <c r="E264" s="3" t="s">
        <v>29</v>
      </c>
      <c r="F264" s="3">
        <v>1000</v>
      </c>
      <c r="G264" s="3">
        <v>0</v>
      </c>
      <c r="H264" s="3">
        <v>2</v>
      </c>
      <c r="I264" s="3" t="s">
        <v>25</v>
      </c>
      <c r="J264" s="3"/>
      <c r="K264" s="3"/>
      <c r="L264" s="3"/>
      <c r="M264" s="3"/>
      <c r="N264" s="3"/>
      <c r="O264" s="3"/>
      <c r="Q264">
        <f t="shared" si="15"/>
        <v>-3.3353441534231063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4" x14ac:dyDescent="0.15">
      <c r="A265" s="2">
        <v>45598</v>
      </c>
      <c r="B265" s="3">
        <v>26</v>
      </c>
      <c r="C265" s="3">
        <v>18</v>
      </c>
      <c r="D265" s="3" t="s">
        <v>16</v>
      </c>
      <c r="E265" s="3" t="s">
        <v>29</v>
      </c>
      <c r="F265" s="3">
        <v>1000</v>
      </c>
      <c r="G265" s="3">
        <v>0</v>
      </c>
      <c r="H265" s="3">
        <v>3</v>
      </c>
      <c r="I265" s="3" t="s">
        <v>25</v>
      </c>
      <c r="J265" s="3"/>
      <c r="K265" s="3"/>
      <c r="L265" s="3"/>
      <c r="M265" s="3"/>
      <c r="N265" s="3"/>
      <c r="O265" s="3"/>
      <c r="Q265">
        <f t="shared" si="15"/>
        <v>-1.7739684730195671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4" x14ac:dyDescent="0.15">
      <c r="A266" s="2">
        <v>45598</v>
      </c>
      <c r="B266" s="3">
        <v>26</v>
      </c>
      <c r="C266" s="3">
        <v>18</v>
      </c>
      <c r="D266" s="3" t="s">
        <v>16</v>
      </c>
      <c r="E266" s="3" t="s">
        <v>29</v>
      </c>
      <c r="F266" s="3">
        <v>2500</v>
      </c>
      <c r="G266" s="3">
        <v>0</v>
      </c>
      <c r="H266" s="3">
        <v>1</v>
      </c>
      <c r="I266" s="3" t="s">
        <v>25</v>
      </c>
      <c r="J266" s="3"/>
      <c r="K266" s="3"/>
      <c r="L266" s="3"/>
      <c r="M266" s="3"/>
      <c r="N266" s="3"/>
      <c r="O266" s="3"/>
      <c r="Q266">
        <f t="shared" si="15"/>
        <v>0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4" x14ac:dyDescent="0.15">
      <c r="A267" s="2">
        <v>45598</v>
      </c>
      <c r="B267" s="3">
        <v>26</v>
      </c>
      <c r="C267" s="3">
        <v>18</v>
      </c>
      <c r="D267" s="3" t="s">
        <v>16</v>
      </c>
      <c r="E267" s="3" t="s">
        <v>29</v>
      </c>
      <c r="F267" s="3">
        <v>2500</v>
      </c>
      <c r="G267" s="3">
        <v>0</v>
      </c>
      <c r="H267" s="3">
        <v>2</v>
      </c>
      <c r="I267" s="3" t="s">
        <v>25</v>
      </c>
      <c r="J267" s="3"/>
      <c r="K267" s="3"/>
      <c r="L267" s="3"/>
      <c r="M267" s="3"/>
      <c r="N267" s="3"/>
      <c r="O267" s="3"/>
      <c r="Q267">
        <f t="shared" si="15"/>
        <v>0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4" x14ac:dyDescent="0.15">
      <c r="A268" s="2">
        <v>45598</v>
      </c>
      <c r="B268" s="3">
        <v>26</v>
      </c>
      <c r="C268" s="3">
        <v>18</v>
      </c>
      <c r="D268" s="3" t="s">
        <v>16</v>
      </c>
      <c r="E268" s="3" t="s">
        <v>29</v>
      </c>
      <c r="F268" s="3">
        <v>2500</v>
      </c>
      <c r="G268" s="3">
        <v>0</v>
      </c>
      <c r="H268" s="3">
        <v>3</v>
      </c>
      <c r="I268" s="3" t="s">
        <v>25</v>
      </c>
      <c r="J268" s="3"/>
      <c r="K268" s="3"/>
      <c r="L268" s="3"/>
      <c r="M268" s="3"/>
      <c r="N268" s="3"/>
      <c r="O268" s="3"/>
      <c r="Q268">
        <f t="shared" si="15"/>
        <v>0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4" x14ac:dyDescent="0.15">
      <c r="A269" s="2">
        <v>45598</v>
      </c>
      <c r="B269" s="3">
        <v>26</v>
      </c>
      <c r="C269" s="3">
        <v>18</v>
      </c>
      <c r="D269" s="3" t="s">
        <v>16</v>
      </c>
      <c r="E269" s="3" t="s">
        <v>30</v>
      </c>
      <c r="F269" s="3">
        <v>2000</v>
      </c>
      <c r="G269" s="3">
        <v>2000</v>
      </c>
      <c r="H269" s="3">
        <v>1</v>
      </c>
      <c r="I269" s="3" t="s">
        <v>25</v>
      </c>
      <c r="J269" s="3">
        <v>5.01</v>
      </c>
      <c r="K269" s="14">
        <v>2.75</v>
      </c>
      <c r="L269" s="14">
        <v>1</v>
      </c>
      <c r="M269" s="14">
        <v>2.75</v>
      </c>
      <c r="N269" s="3" t="s">
        <v>17</v>
      </c>
      <c r="O269" s="3"/>
      <c r="P269">
        <f t="shared" si="14"/>
        <v>0.86537898478318642</v>
      </c>
      <c r="Q269">
        <f t="shared" si="15"/>
        <v>4.4047773924132354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4" x14ac:dyDescent="0.15">
      <c r="A270" s="2">
        <v>45598</v>
      </c>
      <c r="B270" s="3">
        <v>26</v>
      </c>
      <c r="C270" s="3">
        <v>18</v>
      </c>
      <c r="D270" s="3" t="s">
        <v>16</v>
      </c>
      <c r="E270" s="3" t="s">
        <v>30</v>
      </c>
      <c r="F270" s="3">
        <v>2000</v>
      </c>
      <c r="G270" s="3">
        <v>2000</v>
      </c>
      <c r="H270" s="3">
        <v>2</v>
      </c>
      <c r="I270" s="3" t="s">
        <v>25</v>
      </c>
      <c r="J270" s="3">
        <v>5.39</v>
      </c>
      <c r="K270" s="14">
        <v>2.75</v>
      </c>
      <c r="L270" s="14">
        <v>1</v>
      </c>
      <c r="M270" s="14">
        <v>2.75</v>
      </c>
      <c r="N270" s="3" t="s">
        <v>17</v>
      </c>
      <c r="O270" s="3"/>
      <c r="P270">
        <f t="shared" si="14"/>
        <v>0.97085365434048343</v>
      </c>
      <c r="Q270">
        <f t="shared" si="15"/>
        <v>4.7982408331826321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4" x14ac:dyDescent="0.15">
      <c r="A271" s="2">
        <v>45598</v>
      </c>
      <c r="B271" s="3">
        <v>26</v>
      </c>
      <c r="C271" s="3">
        <v>18</v>
      </c>
      <c r="D271" s="3" t="s">
        <v>16</v>
      </c>
      <c r="E271" s="3" t="s">
        <v>30</v>
      </c>
      <c r="F271" s="3">
        <v>2000</v>
      </c>
      <c r="G271" s="3">
        <v>2000</v>
      </c>
      <c r="H271" s="3">
        <v>3</v>
      </c>
      <c r="I271" s="3" t="s">
        <v>25</v>
      </c>
      <c r="J271" s="3">
        <v>4.41</v>
      </c>
      <c r="K271" s="14">
        <v>2.75</v>
      </c>
      <c r="L271" s="14">
        <v>1</v>
      </c>
      <c r="M271" s="14">
        <v>2.75</v>
      </c>
      <c r="N271" s="3" t="s">
        <v>17</v>
      </c>
      <c r="O271" s="3"/>
      <c r="P271">
        <f t="shared" si="14"/>
        <v>0.68134703714549882</v>
      </c>
      <c r="Q271">
        <f t="shared" si="15"/>
        <v>3.9519337137632666</v>
      </c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4" x14ac:dyDescent="0.15">
      <c r="A272" s="2">
        <v>45598</v>
      </c>
      <c r="B272" s="3">
        <v>26</v>
      </c>
      <c r="C272" s="3">
        <v>18</v>
      </c>
      <c r="D272" s="3" t="s">
        <v>16</v>
      </c>
      <c r="E272" s="3" t="s">
        <v>30</v>
      </c>
      <c r="F272" s="3">
        <v>15000</v>
      </c>
      <c r="G272" s="3">
        <v>4000</v>
      </c>
      <c r="H272" s="3">
        <v>1</v>
      </c>
      <c r="I272" s="3" t="s">
        <v>25</v>
      </c>
      <c r="J272" s="3">
        <v>5.05</v>
      </c>
      <c r="K272" s="14">
        <v>2.75</v>
      </c>
      <c r="L272" s="14">
        <v>1</v>
      </c>
      <c r="M272" s="14">
        <v>2.75</v>
      </c>
      <c r="N272" s="3" t="s">
        <v>17</v>
      </c>
      <c r="O272" s="3"/>
      <c r="P272">
        <f t="shared" si="14"/>
        <v>0.87685176922713493</v>
      </c>
      <c r="Q272">
        <f t="shared" si="15"/>
        <v>2.8648853529953184</v>
      </c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4" x14ac:dyDescent="0.15">
      <c r="A273" s="2">
        <v>45598</v>
      </c>
      <c r="B273" s="3">
        <v>26</v>
      </c>
      <c r="C273" s="3">
        <v>18</v>
      </c>
      <c r="D273" s="3" t="s">
        <v>16</v>
      </c>
      <c r="E273" s="3" t="s">
        <v>30</v>
      </c>
      <c r="F273" s="3">
        <v>15000</v>
      </c>
      <c r="G273" s="3">
        <v>4000</v>
      </c>
      <c r="H273" s="3">
        <v>2</v>
      </c>
      <c r="I273" s="3" t="s">
        <v>25</v>
      </c>
      <c r="J273" s="3">
        <v>4.82</v>
      </c>
      <c r="K273" s="14">
        <v>2.75</v>
      </c>
      <c r="L273" s="14">
        <v>1</v>
      </c>
      <c r="M273" s="14">
        <v>2.75</v>
      </c>
      <c r="N273" s="3" t="s">
        <v>17</v>
      </c>
      <c r="O273" s="3"/>
      <c r="P273">
        <f t="shared" si="14"/>
        <v>0.80960152781793993</v>
      </c>
      <c r="Q273">
        <f t="shared" si="15"/>
        <v>2.347309705017361</v>
      </c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4" x14ac:dyDescent="0.15">
      <c r="A274" s="2">
        <v>45598</v>
      </c>
      <c r="B274" s="3">
        <v>26</v>
      </c>
      <c r="C274" s="3">
        <v>18</v>
      </c>
      <c r="D274" s="3" t="s">
        <v>16</v>
      </c>
      <c r="E274" s="3" t="s">
        <v>30</v>
      </c>
      <c r="F274" s="3">
        <v>15000</v>
      </c>
      <c r="G274" s="3">
        <v>4000</v>
      </c>
      <c r="H274" s="3">
        <v>3</v>
      </c>
      <c r="I274" s="3" t="s">
        <v>25</v>
      </c>
      <c r="J274" s="3">
        <v>5.1100000000000003</v>
      </c>
      <c r="K274" s="14">
        <v>2.75</v>
      </c>
      <c r="L274" s="14">
        <v>1</v>
      </c>
      <c r="M274" s="14">
        <v>2.75</v>
      </c>
      <c r="N274" s="3" t="s">
        <v>17</v>
      </c>
      <c r="O274" s="3"/>
      <c r="P274">
        <f t="shared" si="14"/>
        <v>0.89389167252559965</v>
      </c>
      <c r="Q274">
        <f t="shared" si="15"/>
        <v>2.8769881384857605</v>
      </c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4" x14ac:dyDescent="0.15">
      <c r="A275" s="2">
        <v>45598</v>
      </c>
      <c r="B275" s="3">
        <v>26</v>
      </c>
      <c r="C275" s="3">
        <v>18</v>
      </c>
      <c r="D275" s="3" t="s">
        <v>16</v>
      </c>
      <c r="E275" s="3" t="s">
        <v>31</v>
      </c>
      <c r="F275" s="3">
        <v>4000</v>
      </c>
      <c r="G275" s="3">
        <v>4000</v>
      </c>
      <c r="H275" s="3">
        <v>1</v>
      </c>
      <c r="I275" s="3" t="s">
        <v>25</v>
      </c>
      <c r="J275" s="3">
        <v>4.84</v>
      </c>
      <c r="K275" s="14">
        <v>2.75</v>
      </c>
      <c r="L275" s="14">
        <v>1</v>
      </c>
      <c r="M275" s="14">
        <v>2.75</v>
      </c>
      <c r="N275" s="3" t="s">
        <v>17</v>
      </c>
      <c r="O275" s="3"/>
      <c r="P275">
        <f t="shared" si="14"/>
        <v>0.81557542886257262</v>
      </c>
      <c r="Q275">
        <f t="shared" si="15"/>
        <v>5.0321356007283811</v>
      </c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4" x14ac:dyDescent="0.15">
      <c r="A276" s="2">
        <v>45598</v>
      </c>
      <c r="B276" s="3">
        <v>26</v>
      </c>
      <c r="C276" s="3">
        <v>18</v>
      </c>
      <c r="D276" s="3" t="s">
        <v>16</v>
      </c>
      <c r="E276" s="3" t="s">
        <v>31</v>
      </c>
      <c r="F276" s="3">
        <v>4000</v>
      </c>
      <c r="G276" s="3">
        <v>4000</v>
      </c>
      <c r="H276" s="3">
        <v>2</v>
      </c>
      <c r="I276" s="3" t="s">
        <v>25</v>
      </c>
      <c r="J276" s="3">
        <v>6.13</v>
      </c>
      <c r="K276" s="14">
        <v>2.75</v>
      </c>
      <c r="L276" s="14">
        <v>1</v>
      </c>
      <c r="M276" s="14">
        <v>2.75</v>
      </c>
      <c r="N276" s="3" t="s">
        <v>17</v>
      </c>
      <c r="O276" s="3"/>
      <c r="P276">
        <f t="shared" si="14"/>
        <v>1.1564554552787596</v>
      </c>
      <c r="Q276">
        <f t="shared" si="15"/>
        <v>7.1880771274935844</v>
      </c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4" x14ac:dyDescent="0.15">
      <c r="A277" s="2">
        <v>45598</v>
      </c>
      <c r="B277" s="3">
        <v>26</v>
      </c>
      <c r="C277" s="3">
        <v>18</v>
      </c>
      <c r="D277" s="3" t="s">
        <v>16</v>
      </c>
      <c r="E277" s="3" t="s">
        <v>31</v>
      </c>
      <c r="F277" s="3">
        <v>4000</v>
      </c>
      <c r="G277" s="3">
        <v>4000</v>
      </c>
      <c r="H277" s="3">
        <v>3</v>
      </c>
      <c r="I277" s="3" t="s">
        <v>25</v>
      </c>
      <c r="J277" s="3">
        <v>4.53</v>
      </c>
      <c r="K277" s="14">
        <v>2.75</v>
      </c>
      <c r="L277" s="14">
        <v>1</v>
      </c>
      <c r="M277" s="14">
        <v>2.75</v>
      </c>
      <c r="N277" s="3" t="s">
        <v>17</v>
      </c>
      <c r="O277" s="3"/>
      <c r="P277">
        <f t="shared" si="14"/>
        <v>0.72007943163421329</v>
      </c>
      <c r="Q277">
        <f t="shared" si="15"/>
        <v>4.8936204048832312</v>
      </c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4" x14ac:dyDescent="0.15">
      <c r="A278" s="2">
        <v>45598</v>
      </c>
      <c r="B278" s="3">
        <v>26</v>
      </c>
      <c r="C278" s="3">
        <v>18</v>
      </c>
      <c r="D278" s="3" t="s">
        <v>16</v>
      </c>
      <c r="E278" s="3" t="s">
        <v>31</v>
      </c>
      <c r="F278" s="3">
        <v>8000</v>
      </c>
      <c r="G278" s="3">
        <v>8000</v>
      </c>
      <c r="H278" s="3">
        <v>1</v>
      </c>
      <c r="I278" s="3" t="s">
        <v>25</v>
      </c>
      <c r="J278" s="3"/>
      <c r="K278" s="3"/>
      <c r="L278" s="3"/>
      <c r="M278" s="3"/>
      <c r="N278" s="3"/>
      <c r="O278" s="3"/>
      <c r="Q278">
        <f t="shared" si="15"/>
        <v>3.3628764488313143</v>
      </c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4" x14ac:dyDescent="0.15">
      <c r="A279" s="2">
        <v>45598</v>
      </c>
      <c r="B279" s="3">
        <v>26</v>
      </c>
      <c r="C279" s="3">
        <v>18</v>
      </c>
      <c r="D279" s="3" t="s">
        <v>16</v>
      </c>
      <c r="E279" s="3" t="s">
        <v>31</v>
      </c>
      <c r="F279" s="3">
        <v>8000</v>
      </c>
      <c r="G279" s="3">
        <v>8000</v>
      </c>
      <c r="H279" s="3">
        <v>2</v>
      </c>
      <c r="I279" s="3" t="s">
        <v>25</v>
      </c>
      <c r="J279" s="3"/>
      <c r="K279" s="3"/>
      <c r="L279" s="3"/>
      <c r="M279" s="3"/>
      <c r="N279" s="3"/>
      <c r="O279" s="3"/>
      <c r="Q279">
        <f t="shared" si="15"/>
        <v>0.83704981676492995</v>
      </c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4" x14ac:dyDescent="0.15">
      <c r="A280" s="2">
        <v>45598</v>
      </c>
      <c r="B280" s="3">
        <v>26</v>
      </c>
      <c r="C280" s="3">
        <v>18</v>
      </c>
      <c r="D280" s="3" t="s">
        <v>16</v>
      </c>
      <c r="E280" s="3" t="s">
        <v>31</v>
      </c>
      <c r="F280" s="3">
        <v>8000</v>
      </c>
      <c r="G280" s="3">
        <v>8000</v>
      </c>
      <c r="H280" s="3">
        <v>3</v>
      </c>
      <c r="I280" s="3" t="s">
        <v>25</v>
      </c>
      <c r="J280" s="3"/>
      <c r="K280" s="3"/>
      <c r="L280" s="3"/>
      <c r="M280" s="3"/>
      <c r="N280" s="3"/>
      <c r="O280" s="3"/>
      <c r="Q280">
        <f t="shared" si="15"/>
        <v>1.9450504413872409</v>
      </c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4" x14ac:dyDescent="0.15">
      <c r="A281" s="2">
        <v>45598</v>
      </c>
      <c r="B281" s="3">
        <v>26</v>
      </c>
      <c r="C281" s="3">
        <v>18</v>
      </c>
      <c r="D281" s="3" t="s">
        <v>16</v>
      </c>
      <c r="E281" s="3" t="s">
        <v>32</v>
      </c>
      <c r="F281" s="5">
        <v>0.01</v>
      </c>
      <c r="G281" s="5">
        <v>0.01</v>
      </c>
      <c r="H281" s="3">
        <v>1</v>
      </c>
      <c r="I281" s="3" t="s">
        <v>25</v>
      </c>
      <c r="J281" s="3">
        <v>8.4700000000000006</v>
      </c>
      <c r="K281" s="14">
        <v>2.75</v>
      </c>
      <c r="L281" s="14">
        <v>1</v>
      </c>
      <c r="M281" s="14">
        <v>2.75</v>
      </c>
      <c r="N281" s="3" t="s">
        <v>17</v>
      </c>
      <c r="O281" s="3"/>
      <c r="P281">
        <f>LOG(J281/K242,2)</f>
        <v>1.6229303509201767</v>
      </c>
      <c r="Q281">
        <f t="shared" si="15"/>
        <v>8.3788394610902479</v>
      </c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4" x14ac:dyDescent="0.15">
      <c r="A282" s="2">
        <v>45598</v>
      </c>
      <c r="B282" s="3">
        <v>26</v>
      </c>
      <c r="C282" s="3">
        <v>18</v>
      </c>
      <c r="D282" s="3" t="s">
        <v>16</v>
      </c>
      <c r="E282" s="3" t="s">
        <v>32</v>
      </c>
      <c r="F282" s="5">
        <v>0.01</v>
      </c>
      <c r="G282" s="5">
        <v>0.01</v>
      </c>
      <c r="H282" s="3">
        <v>2</v>
      </c>
      <c r="I282" s="3" t="s">
        <v>25</v>
      </c>
      <c r="J282" s="3">
        <v>6.9</v>
      </c>
      <c r="K282" s="14">
        <v>2.75</v>
      </c>
      <c r="L282" s="14">
        <v>1</v>
      </c>
      <c r="M282" s="14">
        <v>2.75</v>
      </c>
      <c r="N282" s="3" t="s">
        <v>17</v>
      </c>
      <c r="O282" s="3"/>
      <c r="P282">
        <f t="shared" si="14"/>
        <v>1.3271647432535094</v>
      </c>
      <c r="Q282">
        <f t="shared" si="15"/>
        <v>8.0312234428245244</v>
      </c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4" x14ac:dyDescent="0.15">
      <c r="A283" s="2">
        <v>45598</v>
      </c>
      <c r="B283" s="3">
        <v>26</v>
      </c>
      <c r="C283" s="3">
        <v>18</v>
      </c>
      <c r="D283" s="3" t="s">
        <v>16</v>
      </c>
      <c r="E283" s="3" t="s">
        <v>32</v>
      </c>
      <c r="F283" s="5">
        <v>0.01</v>
      </c>
      <c r="G283" s="5">
        <v>0.01</v>
      </c>
      <c r="H283" s="3">
        <v>3</v>
      </c>
      <c r="I283" s="3" t="s">
        <v>25</v>
      </c>
      <c r="J283" s="3">
        <v>6.74</v>
      </c>
      <c r="K283" s="14">
        <v>2.75</v>
      </c>
      <c r="L283" s="14">
        <v>1</v>
      </c>
      <c r="M283" s="14">
        <v>2.75</v>
      </c>
      <c r="N283" s="3" t="s">
        <v>17</v>
      </c>
      <c r="O283" s="3"/>
      <c r="P283">
        <f t="shared" si="14"/>
        <v>1.2933169727698368</v>
      </c>
      <c r="Q283">
        <f t="shared" si="15"/>
        <v>8.8869258841902692</v>
      </c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4" x14ac:dyDescent="0.15">
      <c r="A284" s="2">
        <v>45601</v>
      </c>
      <c r="B284" s="3">
        <v>29</v>
      </c>
      <c r="C284" s="3">
        <v>21</v>
      </c>
      <c r="D284" s="3" t="s">
        <v>16</v>
      </c>
      <c r="E284" s="3" t="s">
        <v>24</v>
      </c>
      <c r="F284" s="3">
        <v>100</v>
      </c>
      <c r="G284" s="3">
        <v>100</v>
      </c>
      <c r="H284" s="3">
        <v>1</v>
      </c>
      <c r="I284" s="3" t="s">
        <v>25</v>
      </c>
      <c r="J284" s="3">
        <v>7.48</v>
      </c>
      <c r="K284" s="3"/>
      <c r="L284" s="3">
        <v>2</v>
      </c>
      <c r="M284" s="14">
        <v>2.75</v>
      </c>
      <c r="N284" s="3" t="s">
        <v>17</v>
      </c>
      <c r="O284" s="3"/>
      <c r="P284">
        <f t="shared" si="14"/>
        <v>1.4436066514756147</v>
      </c>
      <c r="Q284">
        <f t="shared" si="15"/>
        <v>5.7923604285054706</v>
      </c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4" x14ac:dyDescent="0.15">
      <c r="A285" s="2">
        <v>45601</v>
      </c>
      <c r="B285" s="3">
        <v>29</v>
      </c>
      <c r="C285" s="3">
        <v>21</v>
      </c>
      <c r="D285" s="3" t="s">
        <v>16</v>
      </c>
      <c r="E285" s="3" t="s">
        <v>24</v>
      </c>
      <c r="F285" s="3">
        <v>100</v>
      </c>
      <c r="G285" s="3">
        <v>100</v>
      </c>
      <c r="H285" s="3">
        <v>2</v>
      </c>
      <c r="I285" s="3" t="s">
        <v>25</v>
      </c>
      <c r="J285" s="3">
        <v>6.04</v>
      </c>
      <c r="K285" s="3"/>
      <c r="L285" s="3">
        <v>2</v>
      </c>
      <c r="M285" s="14">
        <v>2.75</v>
      </c>
      <c r="N285" s="3" t="s">
        <v>17</v>
      </c>
      <c r="O285" s="3"/>
      <c r="P285">
        <f t="shared" si="14"/>
        <v>1.1351169309130569</v>
      </c>
      <c r="Q285">
        <f t="shared" si="15"/>
        <v>6.1676772887817677</v>
      </c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4" x14ac:dyDescent="0.15">
      <c r="A286" s="2">
        <v>45601</v>
      </c>
      <c r="B286" s="3">
        <v>29</v>
      </c>
      <c r="C286" s="3">
        <v>21</v>
      </c>
      <c r="D286" s="3" t="s">
        <v>16</v>
      </c>
      <c r="E286" s="3" t="s">
        <v>24</v>
      </c>
      <c r="F286" s="3">
        <v>100</v>
      </c>
      <c r="G286" s="3">
        <v>100</v>
      </c>
      <c r="H286" s="3">
        <v>3</v>
      </c>
      <c r="I286" s="3" t="s">
        <v>25</v>
      </c>
      <c r="J286" s="3">
        <v>7.4</v>
      </c>
      <c r="K286" s="3"/>
      <c r="L286" s="3">
        <v>2</v>
      </c>
      <c r="M286" s="14">
        <v>2.75</v>
      </c>
      <c r="N286" s="3" t="s">
        <v>17</v>
      </c>
      <c r="O286" s="3"/>
      <c r="P286">
        <f t="shared" si="14"/>
        <v>1.4280936521042904</v>
      </c>
      <c r="Q286">
        <f t="shared" si="15"/>
        <v>5.9641247591725604</v>
      </c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4" x14ac:dyDescent="0.15">
      <c r="A287" s="2">
        <v>45601</v>
      </c>
      <c r="B287" s="3">
        <v>29</v>
      </c>
      <c r="C287" s="3">
        <v>21</v>
      </c>
      <c r="D287" s="3" t="s">
        <v>16</v>
      </c>
      <c r="E287" s="3" t="s">
        <v>24</v>
      </c>
      <c r="F287" s="3">
        <v>1000</v>
      </c>
      <c r="G287" s="3">
        <v>200</v>
      </c>
      <c r="H287" s="3">
        <v>1</v>
      </c>
      <c r="I287" s="3" t="s">
        <v>25</v>
      </c>
      <c r="J287" s="3">
        <v>6.47</v>
      </c>
      <c r="K287" s="3"/>
      <c r="L287" s="3">
        <v>2</v>
      </c>
      <c r="M287" s="14">
        <v>2.75</v>
      </c>
      <c r="N287" s="3" t="s">
        <v>17</v>
      </c>
      <c r="O287" s="3"/>
      <c r="P287">
        <f t="shared" si="14"/>
        <v>1.2343340935804854</v>
      </c>
      <c r="Q287">
        <f t="shared" si="15"/>
        <v>4.5232542020454636</v>
      </c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4" x14ac:dyDescent="0.15">
      <c r="A288" s="2">
        <v>45601</v>
      </c>
      <c r="B288" s="3">
        <v>29</v>
      </c>
      <c r="C288" s="3">
        <v>21</v>
      </c>
      <c r="D288" s="3" t="s">
        <v>16</v>
      </c>
      <c r="E288" s="3" t="s">
        <v>24</v>
      </c>
      <c r="F288" s="3">
        <v>1000</v>
      </c>
      <c r="G288" s="3">
        <v>200</v>
      </c>
      <c r="H288" s="3">
        <v>2</v>
      </c>
      <c r="I288" s="3" t="s">
        <v>25</v>
      </c>
      <c r="J288" s="3">
        <v>5.69</v>
      </c>
      <c r="K288" s="3"/>
      <c r="L288" s="3">
        <v>2</v>
      </c>
      <c r="M288" s="14">
        <v>2.75</v>
      </c>
      <c r="N288" s="3" t="s">
        <v>17</v>
      </c>
      <c r="O288" s="3"/>
      <c r="P288">
        <f t="shared" si="14"/>
        <v>1.0489970338945602</v>
      </c>
      <c r="Q288">
        <f t="shared" si="15"/>
        <v>3.479524350963711</v>
      </c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4" x14ac:dyDescent="0.15">
      <c r="A289" s="2">
        <v>45601</v>
      </c>
      <c r="B289" s="3">
        <v>29</v>
      </c>
      <c r="C289" s="3">
        <v>21</v>
      </c>
      <c r="D289" s="3" t="s">
        <v>16</v>
      </c>
      <c r="E289" s="3" t="s">
        <v>24</v>
      </c>
      <c r="F289" s="3">
        <v>1000</v>
      </c>
      <c r="G289" s="3">
        <v>200</v>
      </c>
      <c r="H289" s="3">
        <v>3</v>
      </c>
      <c r="I289" s="3" t="s">
        <v>25</v>
      </c>
      <c r="J289" s="3">
        <v>5.98</v>
      </c>
      <c r="K289" s="3"/>
      <c r="L289" s="3">
        <v>2</v>
      </c>
      <c r="M289" s="14">
        <v>2.75</v>
      </c>
      <c r="N289" s="3" t="s">
        <v>17</v>
      </c>
      <c r="O289" s="3"/>
      <c r="P289">
        <f t="shared" si="14"/>
        <v>1.1207138657860833</v>
      </c>
      <c r="Q289">
        <f t="shared" si="15"/>
        <v>3.7851863212886157</v>
      </c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4" x14ac:dyDescent="0.15">
      <c r="A290" s="2">
        <v>45601</v>
      </c>
      <c r="B290" s="3">
        <v>29</v>
      </c>
      <c r="C290" s="3">
        <v>21</v>
      </c>
      <c r="D290" s="3" t="s">
        <v>16</v>
      </c>
      <c r="E290" s="3" t="s">
        <v>27</v>
      </c>
      <c r="F290" s="3">
        <v>1250</v>
      </c>
      <c r="G290" s="3">
        <v>1250</v>
      </c>
      <c r="H290" s="3">
        <v>1</v>
      </c>
      <c r="I290" s="3" t="s">
        <v>25</v>
      </c>
      <c r="J290" s="3">
        <v>8.2799999999999994</v>
      </c>
      <c r="K290" s="3"/>
      <c r="L290" s="3">
        <v>2</v>
      </c>
      <c r="M290" s="14">
        <v>2.75</v>
      </c>
      <c r="N290" s="3" t="s">
        <v>17</v>
      </c>
      <c r="O290" s="3"/>
      <c r="P290">
        <f t="shared" si="14"/>
        <v>1.5901991490873033</v>
      </c>
      <c r="Q290">
        <f t="shared" si="15"/>
        <v>8.1828610564959199</v>
      </c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4" x14ac:dyDescent="0.15">
      <c r="A291" s="2">
        <v>45601</v>
      </c>
      <c r="B291" s="3">
        <v>29</v>
      </c>
      <c r="C291" s="3">
        <v>21</v>
      </c>
      <c r="D291" s="3" t="s">
        <v>16</v>
      </c>
      <c r="E291" s="3" t="s">
        <v>27</v>
      </c>
      <c r="F291" s="3">
        <v>1250</v>
      </c>
      <c r="G291" s="3">
        <v>1250</v>
      </c>
      <c r="H291" s="3">
        <v>2</v>
      </c>
      <c r="I291" s="3" t="s">
        <v>25</v>
      </c>
      <c r="J291" s="3">
        <v>7.27</v>
      </c>
      <c r="K291" s="3"/>
      <c r="L291" s="3">
        <v>2</v>
      </c>
      <c r="M291" s="14">
        <v>2.75</v>
      </c>
      <c r="N291" s="3" t="s">
        <v>17</v>
      </c>
      <c r="O291" s="3"/>
      <c r="P291">
        <f t="shared" si="14"/>
        <v>1.4025237455075723</v>
      </c>
      <c r="Q291">
        <f t="shared" si="15"/>
        <v>8.7350806498791123</v>
      </c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4" x14ac:dyDescent="0.15">
      <c r="A292" s="2">
        <v>45601</v>
      </c>
      <c r="B292" s="3">
        <v>29</v>
      </c>
      <c r="C292" s="3">
        <v>21</v>
      </c>
      <c r="D292" s="3" t="s">
        <v>16</v>
      </c>
      <c r="E292" s="3" t="s">
        <v>27</v>
      </c>
      <c r="F292" s="3">
        <v>1250</v>
      </c>
      <c r="G292" s="3">
        <v>1250</v>
      </c>
      <c r="H292" s="3">
        <v>3</v>
      </c>
      <c r="I292" s="3" t="s">
        <v>25</v>
      </c>
      <c r="J292" s="3">
        <v>7.36</v>
      </c>
      <c r="K292" s="3"/>
      <c r="L292" s="3">
        <v>2</v>
      </c>
      <c r="M292" s="14">
        <v>2.75</v>
      </c>
      <c r="N292" s="3" t="s">
        <v>17</v>
      </c>
      <c r="O292" s="3"/>
      <c r="P292">
        <f t="shared" si="14"/>
        <v>1.4202741476449909</v>
      </c>
      <c r="Q292">
        <f t="shared" si="15"/>
        <v>8.254957360288234</v>
      </c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4" x14ac:dyDescent="0.15">
      <c r="A293" s="2">
        <v>45601</v>
      </c>
      <c r="B293" s="3">
        <v>29</v>
      </c>
      <c r="C293" s="3">
        <v>21</v>
      </c>
      <c r="D293" s="3" t="s">
        <v>16</v>
      </c>
      <c r="E293" s="3" t="s">
        <v>27</v>
      </c>
      <c r="F293" s="3">
        <v>5000</v>
      </c>
      <c r="G293" s="3">
        <v>2000</v>
      </c>
      <c r="H293" s="3">
        <v>1</v>
      </c>
      <c r="I293" s="3" t="s">
        <v>25</v>
      </c>
      <c r="J293" s="3">
        <v>7.27</v>
      </c>
      <c r="K293" s="3"/>
      <c r="L293" s="3">
        <v>2</v>
      </c>
      <c r="M293" s="14">
        <v>2.75</v>
      </c>
      <c r="N293" s="3" t="s">
        <v>17</v>
      </c>
      <c r="O293" s="3"/>
      <c r="P293">
        <f t="shared" si="14"/>
        <v>1.4025237455075723</v>
      </c>
      <c r="Q293">
        <f t="shared" si="15"/>
        <v>4.0659395064757762</v>
      </c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4" x14ac:dyDescent="0.15">
      <c r="A294" s="2">
        <v>45601</v>
      </c>
      <c r="B294" s="3">
        <v>29</v>
      </c>
      <c r="C294" s="3">
        <v>21</v>
      </c>
      <c r="D294" s="3" t="s">
        <v>16</v>
      </c>
      <c r="E294" s="3" t="s">
        <v>27</v>
      </c>
      <c r="F294" s="3">
        <v>5000</v>
      </c>
      <c r="G294" s="3">
        <v>2000</v>
      </c>
      <c r="H294" s="3">
        <v>2</v>
      </c>
      <c r="I294" s="3" t="s">
        <v>25</v>
      </c>
      <c r="J294" s="3">
        <v>6.69</v>
      </c>
      <c r="K294" s="3"/>
      <c r="L294" s="3">
        <v>2</v>
      </c>
      <c r="M294" s="14">
        <v>2.75</v>
      </c>
      <c r="N294" s="3" t="s">
        <v>17</v>
      </c>
      <c r="O294" s="3"/>
      <c r="P294">
        <f t="shared" si="14"/>
        <v>1.2825745922294391</v>
      </c>
      <c r="Q294">
        <f t="shared" si="15"/>
        <v>3.7077302388276516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4" x14ac:dyDescent="0.15">
      <c r="A295" s="2">
        <v>45601</v>
      </c>
      <c r="B295" s="3">
        <v>29</v>
      </c>
      <c r="C295" s="3">
        <v>21</v>
      </c>
      <c r="D295" s="3" t="s">
        <v>16</v>
      </c>
      <c r="E295" s="3" t="s">
        <v>27</v>
      </c>
      <c r="F295" s="3">
        <v>5000</v>
      </c>
      <c r="G295" s="3">
        <v>2000</v>
      </c>
      <c r="H295" s="3">
        <v>3</v>
      </c>
      <c r="I295" s="3" t="s">
        <v>25</v>
      </c>
      <c r="J295" s="3">
        <v>5.83</v>
      </c>
      <c r="K295" s="3"/>
      <c r="L295" s="3">
        <v>2</v>
      </c>
      <c r="M295" s="14">
        <v>2.75</v>
      </c>
      <c r="N295" s="3" t="s">
        <v>17</v>
      </c>
      <c r="O295" s="3"/>
      <c r="P295">
        <f t="shared" si="14"/>
        <v>1.0840642647884746</v>
      </c>
      <c r="Q295">
        <f t="shared" si="15"/>
        <v>3.5167198218300291</v>
      </c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4" x14ac:dyDescent="0.15">
      <c r="A296" s="2">
        <v>45601</v>
      </c>
      <c r="B296" s="3">
        <v>29</v>
      </c>
      <c r="C296" s="3">
        <v>21</v>
      </c>
      <c r="D296" s="3" t="s">
        <v>16</v>
      </c>
      <c r="E296" s="3" t="s">
        <v>28</v>
      </c>
      <c r="F296" s="3">
        <v>1500</v>
      </c>
      <c r="G296" s="3">
        <v>1500</v>
      </c>
      <c r="H296" s="3">
        <v>1</v>
      </c>
      <c r="I296" s="3" t="s">
        <v>25</v>
      </c>
      <c r="J296" s="3">
        <v>6.44</v>
      </c>
      <c r="K296" s="3"/>
      <c r="L296" s="3">
        <v>2</v>
      </c>
      <c r="M296" s="14">
        <v>2.75</v>
      </c>
      <c r="N296" s="3" t="s">
        <v>17</v>
      </c>
      <c r="O296" s="3"/>
      <c r="P296">
        <f t="shared" si="14"/>
        <v>1.2276290697025951</v>
      </c>
      <c r="Q296">
        <f t="shared" si="15"/>
        <v>7.3263332423762133</v>
      </c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4" x14ac:dyDescent="0.15">
      <c r="A297" s="2">
        <v>45601</v>
      </c>
      <c r="B297" s="3">
        <v>29</v>
      </c>
      <c r="C297" s="3">
        <v>21</v>
      </c>
      <c r="D297" s="3" t="s">
        <v>16</v>
      </c>
      <c r="E297" s="3" t="s">
        <v>28</v>
      </c>
      <c r="F297" s="3">
        <v>1500</v>
      </c>
      <c r="G297" s="3">
        <v>1500</v>
      </c>
      <c r="H297" s="3">
        <v>2</v>
      </c>
      <c r="I297" s="3" t="s">
        <v>25</v>
      </c>
      <c r="J297" s="3">
        <v>5.67</v>
      </c>
      <c r="K297" s="3"/>
      <c r="L297" s="3">
        <v>2</v>
      </c>
      <c r="M297" s="14">
        <v>2.75</v>
      </c>
      <c r="N297" s="3" t="s">
        <v>17</v>
      </c>
      <c r="O297" s="3"/>
      <c r="P297">
        <f t="shared" si="14"/>
        <v>1.043917116530207</v>
      </c>
      <c r="Q297">
        <f t="shared" si="15"/>
        <v>6.6002259498237743</v>
      </c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4" x14ac:dyDescent="0.15">
      <c r="A298" s="2">
        <v>45601</v>
      </c>
      <c r="B298" s="3">
        <v>29</v>
      </c>
      <c r="C298" s="3">
        <v>21</v>
      </c>
      <c r="D298" s="3" t="s">
        <v>16</v>
      </c>
      <c r="E298" s="3" t="s">
        <v>28</v>
      </c>
      <c r="F298" s="3">
        <v>1500</v>
      </c>
      <c r="G298" s="3">
        <v>1500</v>
      </c>
      <c r="H298" s="3">
        <v>3</v>
      </c>
      <c r="I298" s="3" t="s">
        <v>25</v>
      </c>
      <c r="J298" s="3">
        <v>6.61</v>
      </c>
      <c r="K298" s="3"/>
      <c r="L298" s="3">
        <v>2</v>
      </c>
      <c r="M298" s="14">
        <v>2.75</v>
      </c>
      <c r="N298" s="3" t="s">
        <v>17</v>
      </c>
      <c r="O298" s="3"/>
      <c r="P298">
        <f t="shared" si="14"/>
        <v>1.2652186530956699</v>
      </c>
      <c r="Q298">
        <f t="shared" si="15"/>
        <v>7.3690216011171339</v>
      </c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4" x14ac:dyDescent="0.15">
      <c r="A299" s="2">
        <v>45601</v>
      </c>
      <c r="B299" s="3">
        <v>29</v>
      </c>
      <c r="C299" s="3">
        <v>21</v>
      </c>
      <c r="D299" s="3" t="s">
        <v>16</v>
      </c>
      <c r="E299" s="3" t="s">
        <v>28</v>
      </c>
      <c r="F299" s="3">
        <v>5000</v>
      </c>
      <c r="G299" s="3">
        <v>0</v>
      </c>
      <c r="H299" s="3">
        <v>1</v>
      </c>
      <c r="I299" s="3" t="s">
        <v>25</v>
      </c>
      <c r="J299" s="3"/>
      <c r="K299" s="3"/>
      <c r="L299" s="3"/>
      <c r="M299" s="3"/>
      <c r="N299" s="3"/>
      <c r="O299" s="3"/>
      <c r="Q299">
        <f t="shared" si="15"/>
        <v>-0.9434164716336324</v>
      </c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4" x14ac:dyDescent="0.15">
      <c r="A300" s="2">
        <v>45601</v>
      </c>
      <c r="B300" s="3">
        <v>29</v>
      </c>
      <c r="C300" s="3">
        <v>21</v>
      </c>
      <c r="D300" s="3" t="s">
        <v>16</v>
      </c>
      <c r="E300" s="3" t="s">
        <v>28</v>
      </c>
      <c r="F300" s="3">
        <v>5000</v>
      </c>
      <c r="G300" s="3">
        <v>0</v>
      </c>
      <c r="H300" s="3">
        <v>2</v>
      </c>
      <c r="I300" s="3" t="s">
        <v>25</v>
      </c>
      <c r="J300" s="3"/>
      <c r="K300" s="3"/>
      <c r="L300" s="3"/>
      <c r="M300" s="3"/>
      <c r="N300" s="3"/>
      <c r="O300" s="3"/>
      <c r="Q300">
        <f t="shared" si="15"/>
        <v>-1.1963972128035034</v>
      </c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4" x14ac:dyDescent="0.15">
      <c r="A301" s="2">
        <v>45601</v>
      </c>
      <c r="B301" s="3">
        <v>29</v>
      </c>
      <c r="C301" s="3">
        <v>21</v>
      </c>
      <c r="D301" s="3" t="s">
        <v>16</v>
      </c>
      <c r="E301" s="3" t="s">
        <v>28</v>
      </c>
      <c r="F301" s="3">
        <v>5000</v>
      </c>
      <c r="G301" s="3">
        <v>0</v>
      </c>
      <c r="H301" s="3">
        <v>3</v>
      </c>
      <c r="I301" s="3" t="s">
        <v>25</v>
      </c>
      <c r="J301" s="3"/>
      <c r="K301" s="3"/>
      <c r="L301" s="3"/>
      <c r="M301" s="3"/>
      <c r="N301" s="3"/>
      <c r="O301" s="3"/>
      <c r="Q301">
        <f t="shared" si="15"/>
        <v>-1.1375035237499349</v>
      </c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4" x14ac:dyDescent="0.15">
      <c r="A302" s="2">
        <v>45601</v>
      </c>
      <c r="B302" s="3">
        <v>29</v>
      </c>
      <c r="C302" s="3">
        <v>21</v>
      </c>
      <c r="D302" s="3" t="s">
        <v>16</v>
      </c>
      <c r="E302" s="3" t="s">
        <v>29</v>
      </c>
      <c r="F302" s="3">
        <v>1000</v>
      </c>
      <c r="G302" s="3">
        <v>0</v>
      </c>
      <c r="H302" s="3">
        <v>1</v>
      </c>
      <c r="I302" s="3" t="s">
        <v>25</v>
      </c>
      <c r="J302" s="3"/>
      <c r="K302" s="3"/>
      <c r="L302" s="3"/>
      <c r="M302" s="3"/>
      <c r="N302" s="3"/>
      <c r="O302" s="3"/>
      <c r="Q302">
        <f t="shared" si="15"/>
        <v>-1.8046294928475071</v>
      </c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4" x14ac:dyDescent="0.15">
      <c r="A303" s="2">
        <v>45601</v>
      </c>
      <c r="B303" s="3">
        <v>29</v>
      </c>
      <c r="C303" s="3">
        <v>21</v>
      </c>
      <c r="D303" s="3" t="s">
        <v>16</v>
      </c>
      <c r="E303" s="3" t="s">
        <v>29</v>
      </c>
      <c r="F303" s="3">
        <v>1000</v>
      </c>
      <c r="G303" s="3">
        <v>0</v>
      </c>
      <c r="H303" s="3">
        <v>2</v>
      </c>
      <c r="I303" s="3" t="s">
        <v>25</v>
      </c>
      <c r="J303" s="3"/>
      <c r="K303" s="3"/>
      <c r="L303" s="3"/>
      <c r="M303" s="3"/>
      <c r="N303" s="3"/>
      <c r="O303" s="3"/>
      <c r="Q303">
        <f t="shared" si="15"/>
        <v>-3.3353441534231063</v>
      </c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4" x14ac:dyDescent="0.15">
      <c r="A304" s="2">
        <v>45601</v>
      </c>
      <c r="B304" s="3">
        <v>29</v>
      </c>
      <c r="C304" s="3">
        <v>21</v>
      </c>
      <c r="D304" s="3" t="s">
        <v>16</v>
      </c>
      <c r="E304" s="3" t="s">
        <v>29</v>
      </c>
      <c r="F304" s="3">
        <v>1000</v>
      </c>
      <c r="G304" s="3">
        <v>0</v>
      </c>
      <c r="H304" s="3">
        <v>3</v>
      </c>
      <c r="I304" s="3" t="s">
        <v>25</v>
      </c>
      <c r="J304" s="3"/>
      <c r="K304" s="3"/>
      <c r="L304" s="3"/>
      <c r="M304" s="3"/>
      <c r="N304" s="3"/>
      <c r="O304" s="3"/>
      <c r="Q304">
        <f t="shared" si="15"/>
        <v>-1.7739684730195671</v>
      </c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4" x14ac:dyDescent="0.15">
      <c r="A305" s="2">
        <v>45601</v>
      </c>
      <c r="B305" s="3">
        <v>29</v>
      </c>
      <c r="C305" s="3">
        <v>21</v>
      </c>
      <c r="D305" s="3" t="s">
        <v>16</v>
      </c>
      <c r="E305" s="3" t="s">
        <v>29</v>
      </c>
      <c r="F305" s="3">
        <v>2500</v>
      </c>
      <c r="G305" s="3">
        <v>0</v>
      </c>
      <c r="H305" s="3">
        <v>1</v>
      </c>
      <c r="I305" s="3" t="s">
        <v>25</v>
      </c>
      <c r="J305" s="3"/>
      <c r="K305" s="3"/>
      <c r="L305" s="3"/>
      <c r="M305" s="3"/>
      <c r="N305" s="3"/>
      <c r="O305" s="3"/>
      <c r="Q305">
        <f t="shared" si="15"/>
        <v>0</v>
      </c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4" x14ac:dyDescent="0.15">
      <c r="A306" s="2">
        <v>45601</v>
      </c>
      <c r="B306" s="3">
        <v>29</v>
      </c>
      <c r="C306" s="3">
        <v>21</v>
      </c>
      <c r="D306" s="3" t="s">
        <v>16</v>
      </c>
      <c r="E306" s="3" t="s">
        <v>29</v>
      </c>
      <c r="F306" s="3">
        <v>2500</v>
      </c>
      <c r="G306" s="3">
        <v>0</v>
      </c>
      <c r="H306" s="3">
        <v>2</v>
      </c>
      <c r="I306" s="3" t="s">
        <v>25</v>
      </c>
      <c r="J306" s="3"/>
      <c r="K306" s="3"/>
      <c r="L306" s="3"/>
      <c r="M306" s="3"/>
      <c r="N306" s="3"/>
      <c r="O306" s="3"/>
      <c r="Q306">
        <f t="shared" si="15"/>
        <v>0</v>
      </c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4" x14ac:dyDescent="0.15">
      <c r="A307" s="2">
        <v>45601</v>
      </c>
      <c r="B307" s="3">
        <v>29</v>
      </c>
      <c r="C307" s="3">
        <v>21</v>
      </c>
      <c r="D307" s="3" t="s">
        <v>16</v>
      </c>
      <c r="E307" s="3" t="s">
        <v>29</v>
      </c>
      <c r="F307" s="3">
        <v>2500</v>
      </c>
      <c r="G307" s="3">
        <v>0</v>
      </c>
      <c r="H307" s="3">
        <v>3</v>
      </c>
      <c r="I307" s="3" t="s">
        <v>25</v>
      </c>
      <c r="J307" s="3"/>
      <c r="K307" s="3"/>
      <c r="L307" s="3"/>
      <c r="M307" s="3"/>
      <c r="N307" s="3"/>
      <c r="O307" s="3"/>
      <c r="Q307">
        <f t="shared" si="15"/>
        <v>0</v>
      </c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4" x14ac:dyDescent="0.15">
      <c r="A308" s="2">
        <v>45601</v>
      </c>
      <c r="B308" s="3">
        <v>29</v>
      </c>
      <c r="C308" s="3">
        <v>21</v>
      </c>
      <c r="D308" s="3" t="s">
        <v>16</v>
      </c>
      <c r="E308" s="3" t="s">
        <v>30</v>
      </c>
      <c r="F308" s="3">
        <v>2000</v>
      </c>
      <c r="G308" s="3">
        <v>2000</v>
      </c>
      <c r="H308" s="3">
        <v>1</v>
      </c>
      <c r="I308" s="3" t="s">
        <v>25</v>
      </c>
      <c r="J308" s="3">
        <v>5.65</v>
      </c>
      <c r="K308" s="3"/>
      <c r="L308" s="3">
        <v>2</v>
      </c>
      <c r="M308" s="14">
        <v>2.75</v>
      </c>
      <c r="N308" s="3" t="s">
        <v>17</v>
      </c>
      <c r="O308" s="3"/>
      <c r="P308">
        <f t="shared" ref="P308:P310" si="16">LOG(J308/K269,2)</f>
        <v>1.0388192488905283</v>
      </c>
      <c r="Q308">
        <f t="shared" si="15"/>
        <v>5.4435966413037633</v>
      </c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4" x14ac:dyDescent="0.15">
      <c r="A309" s="2">
        <v>45601</v>
      </c>
      <c r="B309" s="3">
        <v>29</v>
      </c>
      <c r="C309" s="3">
        <v>21</v>
      </c>
      <c r="D309" s="3" t="s">
        <v>16</v>
      </c>
      <c r="E309" s="3" t="s">
        <v>30</v>
      </c>
      <c r="F309" s="3">
        <v>2000</v>
      </c>
      <c r="G309" s="3">
        <v>2000</v>
      </c>
      <c r="H309" s="3">
        <v>2</v>
      </c>
      <c r="I309" s="3" t="s">
        <v>25</v>
      </c>
      <c r="J309" s="3">
        <v>6.06</v>
      </c>
      <c r="K309" s="3"/>
      <c r="L309" s="3">
        <v>2</v>
      </c>
      <c r="M309" s="14">
        <v>2.75</v>
      </c>
      <c r="N309" s="3" t="s">
        <v>17</v>
      </c>
      <c r="O309" s="3"/>
      <c r="P309">
        <f t="shared" si="16"/>
        <v>1.139886175060929</v>
      </c>
      <c r="Q309">
        <f t="shared" si="15"/>
        <v>5.9381270082435611</v>
      </c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4" x14ac:dyDescent="0.15">
      <c r="A310" s="2">
        <v>45601</v>
      </c>
      <c r="B310" s="3">
        <v>29</v>
      </c>
      <c r="C310" s="3">
        <v>21</v>
      </c>
      <c r="D310" s="3" t="s">
        <v>16</v>
      </c>
      <c r="E310" s="3" t="s">
        <v>30</v>
      </c>
      <c r="F310" s="3">
        <v>2000</v>
      </c>
      <c r="G310" s="3">
        <v>2000</v>
      </c>
      <c r="H310" s="3">
        <v>3</v>
      </c>
      <c r="I310" s="3" t="s">
        <v>25</v>
      </c>
      <c r="J310" s="3">
        <v>5.77</v>
      </c>
      <c r="K310" s="3"/>
      <c r="L310" s="3">
        <v>2</v>
      </c>
      <c r="M310" s="14">
        <v>2.75</v>
      </c>
      <c r="N310" s="3" t="s">
        <v>17</v>
      </c>
      <c r="O310" s="3"/>
      <c r="P310">
        <f t="shared" si="16"/>
        <v>1.0691397002334606</v>
      </c>
      <c r="Q310">
        <f t="shared" ref="Q310:Q322" si="17">P310+Q271</f>
        <v>5.021073413996727</v>
      </c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4" x14ac:dyDescent="0.15">
      <c r="A311" s="2">
        <v>45601</v>
      </c>
      <c r="B311" s="3">
        <v>29</v>
      </c>
      <c r="C311" s="3">
        <v>21</v>
      </c>
      <c r="D311" s="3" t="s">
        <v>16</v>
      </c>
      <c r="E311" s="3" t="s">
        <v>30</v>
      </c>
      <c r="F311" s="3">
        <v>15000</v>
      </c>
      <c r="G311" s="3">
        <v>4000</v>
      </c>
      <c r="H311" s="3">
        <v>1</v>
      </c>
      <c r="I311" s="3" t="s">
        <v>25</v>
      </c>
      <c r="J311" s="3">
        <v>5.0999999999999996</v>
      </c>
      <c r="K311" s="3"/>
      <c r="L311" s="3">
        <v>2</v>
      </c>
      <c r="M311" s="14">
        <v>2.75</v>
      </c>
      <c r="N311" s="3" t="s">
        <v>17</v>
      </c>
      <c r="O311" s="3"/>
      <c r="P311">
        <f t="shared" ref="P311:P322" si="18">LOG(J311/K272,2)</f>
        <v>0.89106562844683601</v>
      </c>
      <c r="Q311">
        <f t="shared" si="17"/>
        <v>3.7559509814421546</v>
      </c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4" x14ac:dyDescent="0.15">
      <c r="A312" s="2">
        <v>45601</v>
      </c>
      <c r="B312" s="3">
        <v>29</v>
      </c>
      <c r="C312" s="3">
        <v>21</v>
      </c>
      <c r="D312" s="3" t="s">
        <v>16</v>
      </c>
      <c r="E312" s="3" t="s">
        <v>30</v>
      </c>
      <c r="F312" s="3">
        <v>15000</v>
      </c>
      <c r="G312" s="3">
        <v>4000</v>
      </c>
      <c r="H312" s="3">
        <v>2</v>
      </c>
      <c r="I312" s="3" t="s">
        <v>25</v>
      </c>
      <c r="J312" s="3">
        <v>4.54</v>
      </c>
      <c r="K312" s="3"/>
      <c r="L312" s="3">
        <v>2</v>
      </c>
      <c r="M312" s="14">
        <v>2.75</v>
      </c>
      <c r="N312" s="3" t="s">
        <v>17</v>
      </c>
      <c r="O312" s="3"/>
      <c r="P312">
        <f t="shared" si="18"/>
        <v>0.723260678878893</v>
      </c>
      <c r="Q312">
        <f t="shared" si="17"/>
        <v>3.0705703838962539</v>
      </c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4" x14ac:dyDescent="0.15">
      <c r="A313" s="2">
        <v>45601</v>
      </c>
      <c r="B313" s="3">
        <v>29</v>
      </c>
      <c r="C313" s="3">
        <v>21</v>
      </c>
      <c r="D313" s="3" t="s">
        <v>16</v>
      </c>
      <c r="E313" s="3" t="s">
        <v>30</v>
      </c>
      <c r="F313" s="3">
        <v>15000</v>
      </c>
      <c r="G313" s="3">
        <v>4000</v>
      </c>
      <c r="H313" s="3">
        <v>3</v>
      </c>
      <c r="I313" s="3" t="s">
        <v>25</v>
      </c>
      <c r="J313" s="3">
        <v>5.05</v>
      </c>
      <c r="K313" s="3"/>
      <c r="L313" s="3">
        <v>2</v>
      </c>
      <c r="M313" s="14">
        <v>2.75</v>
      </c>
      <c r="N313" s="3" t="s">
        <v>17</v>
      </c>
      <c r="O313" s="3"/>
      <c r="P313">
        <f t="shared" si="18"/>
        <v>0.87685176922713493</v>
      </c>
      <c r="Q313">
        <f t="shared" si="17"/>
        <v>3.7538399077128952</v>
      </c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4" x14ac:dyDescent="0.15">
      <c r="A314" s="2">
        <v>45601</v>
      </c>
      <c r="B314" s="3">
        <v>29</v>
      </c>
      <c r="C314" s="3">
        <v>21</v>
      </c>
      <c r="D314" s="3" t="s">
        <v>16</v>
      </c>
      <c r="E314" s="3" t="s">
        <v>31</v>
      </c>
      <c r="F314" s="3">
        <v>4000</v>
      </c>
      <c r="G314" s="3">
        <v>4000</v>
      </c>
      <c r="H314" s="3">
        <v>1</v>
      </c>
      <c r="I314" s="3" t="s">
        <v>25</v>
      </c>
      <c r="J314" s="3">
        <v>5.67</v>
      </c>
      <c r="K314" s="3"/>
      <c r="L314" s="3">
        <v>2</v>
      </c>
      <c r="M314" s="14">
        <v>2.75</v>
      </c>
      <c r="N314" s="3" t="s">
        <v>17</v>
      </c>
      <c r="O314" s="3"/>
      <c r="P314">
        <f t="shared" si="18"/>
        <v>1.043917116530207</v>
      </c>
      <c r="Q314">
        <f t="shared" si="17"/>
        <v>6.0760527172585883</v>
      </c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4" x14ac:dyDescent="0.15">
      <c r="A315" s="2">
        <v>45601</v>
      </c>
      <c r="B315" s="3">
        <v>29</v>
      </c>
      <c r="C315" s="3">
        <v>21</v>
      </c>
      <c r="D315" s="3" t="s">
        <v>16</v>
      </c>
      <c r="E315" s="3" t="s">
        <v>31</v>
      </c>
      <c r="F315" s="3">
        <v>4000</v>
      </c>
      <c r="G315" s="3">
        <v>4000</v>
      </c>
      <c r="H315" s="3">
        <v>2</v>
      </c>
      <c r="I315" s="3" t="s">
        <v>25</v>
      </c>
      <c r="J315" s="3">
        <v>6.63</v>
      </c>
      <c r="K315" s="3"/>
      <c r="L315" s="3">
        <v>2</v>
      </c>
      <c r="M315" s="14">
        <v>2.75</v>
      </c>
      <c r="N315" s="3" t="s">
        <v>17</v>
      </c>
      <c r="O315" s="3"/>
      <c r="P315">
        <f t="shared" si="18"/>
        <v>1.2695772517005657</v>
      </c>
      <c r="Q315">
        <f t="shared" si="17"/>
        <v>8.4576543791941496</v>
      </c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4" x14ac:dyDescent="0.15">
      <c r="A316" s="2">
        <v>45601</v>
      </c>
      <c r="B316" s="3">
        <v>29</v>
      </c>
      <c r="C316" s="3">
        <v>21</v>
      </c>
      <c r="D316" s="3" t="s">
        <v>16</v>
      </c>
      <c r="E316" s="3" t="s">
        <v>31</v>
      </c>
      <c r="F316" s="3">
        <v>4000</v>
      </c>
      <c r="G316" s="3">
        <v>4000</v>
      </c>
      <c r="H316" s="3">
        <v>3</v>
      </c>
      <c r="I316" s="3" t="s">
        <v>25</v>
      </c>
      <c r="J316" s="3">
        <v>4.68</v>
      </c>
      <c r="K316" s="3"/>
      <c r="L316" s="3">
        <v>2</v>
      </c>
      <c r="M316" s="14">
        <v>2.75</v>
      </c>
      <c r="N316" s="3" t="s">
        <v>17</v>
      </c>
      <c r="O316" s="3"/>
      <c r="P316">
        <f t="shared" si="18"/>
        <v>0.76707691117138244</v>
      </c>
      <c r="Q316">
        <f t="shared" si="17"/>
        <v>5.6606973160546135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4" x14ac:dyDescent="0.15">
      <c r="A317" s="2">
        <v>45601</v>
      </c>
      <c r="B317" s="3">
        <v>29</v>
      </c>
      <c r="C317" s="3">
        <v>21</v>
      </c>
      <c r="D317" s="3" t="s">
        <v>16</v>
      </c>
      <c r="E317" s="3" t="s">
        <v>31</v>
      </c>
      <c r="F317" s="3">
        <v>8000</v>
      </c>
      <c r="G317" s="3">
        <v>8000</v>
      </c>
      <c r="H317" s="3">
        <v>1</v>
      </c>
      <c r="I317" s="3" t="s">
        <v>25</v>
      </c>
      <c r="J317" s="3"/>
      <c r="K317" s="3"/>
      <c r="L317" s="3"/>
      <c r="M317" s="3"/>
      <c r="N317" s="3"/>
      <c r="O317" s="3"/>
      <c r="Q317">
        <f t="shared" si="17"/>
        <v>3.3628764488313143</v>
      </c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4" x14ac:dyDescent="0.15">
      <c r="A318" s="2">
        <v>45601</v>
      </c>
      <c r="B318" s="3">
        <v>29</v>
      </c>
      <c r="C318" s="3">
        <v>21</v>
      </c>
      <c r="D318" s="3" t="s">
        <v>16</v>
      </c>
      <c r="E318" s="3" t="s">
        <v>31</v>
      </c>
      <c r="F318" s="3">
        <v>8000</v>
      </c>
      <c r="G318" s="3">
        <v>8000</v>
      </c>
      <c r="H318" s="3">
        <v>2</v>
      </c>
      <c r="I318" s="3" t="s">
        <v>25</v>
      </c>
      <c r="J318" s="3"/>
      <c r="K318" s="3"/>
      <c r="L318" s="3"/>
      <c r="M318" s="3"/>
      <c r="N318" s="3"/>
      <c r="O318" s="3"/>
      <c r="Q318">
        <f t="shared" si="17"/>
        <v>0.83704981676492995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4" x14ac:dyDescent="0.15">
      <c r="A319" s="2">
        <v>45601</v>
      </c>
      <c r="B319" s="3">
        <v>29</v>
      </c>
      <c r="C319" s="3">
        <v>21</v>
      </c>
      <c r="D319" s="3" t="s">
        <v>16</v>
      </c>
      <c r="E319" s="3" t="s">
        <v>31</v>
      </c>
      <c r="F319" s="3">
        <v>8000</v>
      </c>
      <c r="G319" s="3">
        <v>8000</v>
      </c>
      <c r="H319" s="3">
        <v>3</v>
      </c>
      <c r="I319" s="3" t="s">
        <v>25</v>
      </c>
      <c r="J319" s="3"/>
      <c r="K319" s="3"/>
      <c r="L319" s="3"/>
      <c r="M319" s="3"/>
      <c r="N319" s="3"/>
      <c r="O319" s="3"/>
      <c r="Q319">
        <f t="shared" si="17"/>
        <v>1.9450504413872409</v>
      </c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4" x14ac:dyDescent="0.15">
      <c r="A320" s="2">
        <v>45601</v>
      </c>
      <c r="B320" s="3">
        <v>29</v>
      </c>
      <c r="C320" s="3">
        <v>21</v>
      </c>
      <c r="D320" s="3" t="s">
        <v>16</v>
      </c>
      <c r="E320" s="3" t="s">
        <v>32</v>
      </c>
      <c r="F320" s="5">
        <v>0.01</v>
      </c>
      <c r="G320" s="5">
        <v>0.01</v>
      </c>
      <c r="H320" s="3">
        <v>1</v>
      </c>
      <c r="I320" s="3" t="s">
        <v>25</v>
      </c>
      <c r="J320" s="3">
        <v>10.6</v>
      </c>
      <c r="K320" s="3"/>
      <c r="L320" s="3">
        <v>3</v>
      </c>
      <c r="M320" s="14">
        <v>2.75</v>
      </c>
      <c r="N320" s="3" t="s">
        <v>17</v>
      </c>
      <c r="O320" s="3"/>
      <c r="P320">
        <f t="shared" si="18"/>
        <v>1.9465607410385397</v>
      </c>
      <c r="Q320">
        <f t="shared" si="17"/>
        <v>10.325400202128787</v>
      </c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4" x14ac:dyDescent="0.15">
      <c r="A321" s="2">
        <v>45601</v>
      </c>
      <c r="B321" s="3">
        <v>29</v>
      </c>
      <c r="C321" s="3">
        <v>21</v>
      </c>
      <c r="D321" s="3" t="s">
        <v>16</v>
      </c>
      <c r="E321" s="3" t="s">
        <v>32</v>
      </c>
      <c r="F321" s="5">
        <v>0.01</v>
      </c>
      <c r="G321" s="5">
        <v>0.01</v>
      </c>
      <c r="H321" s="3">
        <v>2</v>
      </c>
      <c r="I321" s="3" t="s">
        <v>25</v>
      </c>
      <c r="J321" s="3">
        <v>9.14</v>
      </c>
      <c r="K321" s="3"/>
      <c r="L321" s="3">
        <v>3</v>
      </c>
      <c r="M321" s="14">
        <v>2.75</v>
      </c>
      <c r="N321" s="3" t="s">
        <v>17</v>
      </c>
      <c r="O321" s="3"/>
      <c r="P321">
        <f t="shared" si="18"/>
        <v>1.7327625466460479</v>
      </c>
      <c r="Q321">
        <f t="shared" si="17"/>
        <v>9.7639859894705729</v>
      </c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4" x14ac:dyDescent="0.15">
      <c r="A322" s="2">
        <v>45601</v>
      </c>
      <c r="B322" s="3">
        <v>29</v>
      </c>
      <c r="C322" s="3">
        <v>21</v>
      </c>
      <c r="D322" s="3" t="s">
        <v>16</v>
      </c>
      <c r="E322" s="3" t="s">
        <v>32</v>
      </c>
      <c r="F322" s="5">
        <v>0.01</v>
      </c>
      <c r="G322" s="5">
        <v>0.01</v>
      </c>
      <c r="H322" s="3">
        <v>3</v>
      </c>
      <c r="I322" s="3" t="s">
        <v>25</v>
      </c>
      <c r="J322" s="3">
        <v>9.35</v>
      </c>
      <c r="K322" s="3"/>
      <c r="L322" s="3">
        <v>3</v>
      </c>
      <c r="M322" s="14">
        <v>2.75</v>
      </c>
      <c r="N322" s="3" t="s">
        <v>17</v>
      </c>
      <c r="O322" s="3"/>
      <c r="P322">
        <f t="shared" si="18"/>
        <v>1.7655347463629771</v>
      </c>
      <c r="Q322">
        <f t="shared" si="17"/>
        <v>10.652460630553247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conditionalFormatting sqref="A1:O997 R1:AC997">
    <cfRule type="cellIs" dxfId="107" priority="1" operator="equal">
      <formula>"N/A"</formula>
    </cfRule>
  </conditionalFormatting>
  <conditionalFormatting sqref="E1:E997">
    <cfRule type="cellIs" dxfId="106" priority="6" operator="equal">
      <formula>"KI-CDK9d-32"</formula>
    </cfRule>
    <cfRule type="cellIs" dxfId="105" priority="7" operator="equal">
      <formula>"KI-CDK9d-32N"</formula>
    </cfRule>
    <cfRule type="cellIs" dxfId="104" priority="8" operator="equal">
      <formula>"KB-0742"</formula>
    </cfRule>
    <cfRule type="cellIs" dxfId="103" priority="9" operator="equal">
      <formula>"SY-5609"</formula>
    </cfRule>
    <cfRule type="cellIs" dxfId="102" priority="10" operator="equal">
      <formula>"Senexin B"</formula>
    </cfRule>
    <cfRule type="cellIs" dxfId="101" priority="11" operator="equal">
      <formula>"SEL120"</formula>
    </cfRule>
    <cfRule type="cellIs" dxfId="100" priority="12" operator="equal">
      <formula>"DMSO"</formula>
    </cfRule>
    <cfRule type="cellIs" dxfId="99" priority="13" operator="equal">
      <formula>"NONE"</formula>
    </cfRule>
  </conditionalFormatting>
  <conditionalFormatting sqref="F11:G997">
    <cfRule type="colorScale" priority="14">
      <colorScale>
        <cfvo type="min"/>
        <cfvo type="percentile" val="50"/>
        <cfvo type="max"/>
        <color rgb="FF0000FF"/>
        <color rgb="FFFFFFFF"/>
        <color rgb="FFFF0000"/>
      </colorScale>
    </cfRule>
  </conditionalFormatting>
  <conditionalFormatting sqref="H1:H997">
    <cfRule type="cellIs" dxfId="98" priority="2" operator="equal">
      <formula>1</formula>
    </cfRule>
    <cfRule type="cellIs" dxfId="97" priority="3" operator="equal">
      <formula>2</formula>
    </cfRule>
    <cfRule type="cellIs" dxfId="96" priority="4" operator="equal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88"/>
  <sheetViews>
    <sheetView topLeftCell="A50" workbookViewId="0">
      <selection activeCell="I16" sqref="I16"/>
    </sheetView>
  </sheetViews>
  <sheetFormatPr baseColWidth="10" defaultColWidth="12.6640625" defaultRowHeight="15.75" customHeight="1" x14ac:dyDescent="0.15"/>
  <cols>
    <col min="1" max="1" width="8.33203125" customWidth="1"/>
    <col min="2" max="2" width="14.5" customWidth="1"/>
    <col min="3" max="3" width="14.1640625" customWidth="1"/>
    <col min="4" max="4" width="7.6640625" customWidth="1"/>
    <col min="9" max="9" width="15.5" customWidth="1"/>
    <col min="14" max="14" width="56.33203125" customWidth="1"/>
  </cols>
  <sheetData>
    <row r="1" spans="1:27" ht="3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46</v>
      </c>
      <c r="O1" s="16" t="s">
        <v>47</v>
      </c>
      <c r="P1" s="16" t="s">
        <v>48</v>
      </c>
    </row>
    <row r="2" spans="1:27" ht="15.75" customHeight="1" x14ac:dyDescent="0.15">
      <c r="A2" s="2">
        <v>45703</v>
      </c>
      <c r="B2" s="3">
        <v>7</v>
      </c>
      <c r="C2" s="16" t="s">
        <v>17</v>
      </c>
      <c r="D2" s="16" t="s">
        <v>17</v>
      </c>
      <c r="E2" s="16" t="s">
        <v>17</v>
      </c>
      <c r="F2" s="16" t="s">
        <v>17</v>
      </c>
      <c r="G2" s="16" t="s">
        <v>17</v>
      </c>
      <c r="H2" s="3">
        <v>1</v>
      </c>
      <c r="I2" s="3" t="s">
        <v>49</v>
      </c>
      <c r="J2" s="16" t="s">
        <v>50</v>
      </c>
      <c r="K2" s="16" t="s">
        <v>17</v>
      </c>
      <c r="L2" s="16" t="s">
        <v>17</v>
      </c>
      <c r="M2" s="16" t="s">
        <v>17</v>
      </c>
      <c r="N2" s="16" t="s">
        <v>51</v>
      </c>
    </row>
    <row r="3" spans="1:27" ht="15.75" customHeight="1" x14ac:dyDescent="0.15">
      <c r="A3" s="2">
        <v>45703</v>
      </c>
      <c r="B3" s="3">
        <v>7</v>
      </c>
      <c r="C3" s="16" t="s">
        <v>17</v>
      </c>
      <c r="D3" s="16" t="s">
        <v>17</v>
      </c>
      <c r="E3" s="16" t="s">
        <v>17</v>
      </c>
      <c r="F3" s="16" t="s">
        <v>17</v>
      </c>
      <c r="G3" s="16" t="s">
        <v>17</v>
      </c>
      <c r="H3" s="3">
        <v>2</v>
      </c>
      <c r="I3" s="3" t="s">
        <v>49</v>
      </c>
      <c r="J3" s="16" t="s">
        <v>50</v>
      </c>
      <c r="K3" s="16" t="s">
        <v>17</v>
      </c>
      <c r="L3" s="16" t="s">
        <v>17</v>
      </c>
      <c r="M3" s="16" t="s">
        <v>17</v>
      </c>
      <c r="N3" s="16" t="s">
        <v>51</v>
      </c>
    </row>
    <row r="4" spans="1:27" ht="15.75" customHeight="1" x14ac:dyDescent="0.15">
      <c r="A4" s="2">
        <v>45703</v>
      </c>
      <c r="B4" s="3">
        <v>7</v>
      </c>
      <c r="C4" s="16" t="s">
        <v>17</v>
      </c>
      <c r="D4" s="16" t="s">
        <v>17</v>
      </c>
      <c r="E4" s="16" t="s">
        <v>17</v>
      </c>
      <c r="F4" s="16" t="s">
        <v>17</v>
      </c>
      <c r="G4" s="16" t="s">
        <v>17</v>
      </c>
      <c r="H4" s="3">
        <v>3</v>
      </c>
      <c r="I4" s="3" t="s">
        <v>49</v>
      </c>
      <c r="J4" s="16" t="s">
        <v>50</v>
      </c>
      <c r="K4" s="16" t="s">
        <v>17</v>
      </c>
      <c r="L4" s="16" t="s">
        <v>17</v>
      </c>
      <c r="M4" s="16" t="s">
        <v>17</v>
      </c>
      <c r="N4" s="16" t="s">
        <v>51</v>
      </c>
    </row>
    <row r="5" spans="1:27" ht="15.75" customHeight="1" x14ac:dyDescent="0.15">
      <c r="A5" s="2">
        <v>45704</v>
      </c>
      <c r="B5" s="3">
        <v>8</v>
      </c>
      <c r="C5" s="16" t="s">
        <v>17</v>
      </c>
      <c r="D5" s="16" t="s">
        <v>17</v>
      </c>
      <c r="E5" s="16" t="s">
        <v>17</v>
      </c>
      <c r="F5" s="16" t="s">
        <v>17</v>
      </c>
      <c r="G5" s="16" t="s">
        <v>17</v>
      </c>
      <c r="H5" s="3">
        <v>1</v>
      </c>
      <c r="I5" s="3" t="s">
        <v>52</v>
      </c>
      <c r="J5" s="16" t="s">
        <v>50</v>
      </c>
      <c r="K5" s="16" t="s">
        <v>53</v>
      </c>
      <c r="L5" s="16">
        <v>1</v>
      </c>
      <c r="M5" s="16">
        <v>2.75</v>
      </c>
      <c r="N5" s="16" t="s">
        <v>54</v>
      </c>
    </row>
    <row r="6" spans="1:27" ht="15.75" customHeight="1" x14ac:dyDescent="0.15">
      <c r="A6" s="2">
        <v>45704</v>
      </c>
      <c r="B6" s="3">
        <v>8</v>
      </c>
      <c r="C6" s="16" t="s">
        <v>17</v>
      </c>
      <c r="D6" s="16" t="s">
        <v>17</v>
      </c>
      <c r="E6" s="16" t="s">
        <v>17</v>
      </c>
      <c r="F6" s="16" t="s">
        <v>17</v>
      </c>
      <c r="G6" s="16" t="s">
        <v>17</v>
      </c>
      <c r="H6" s="3">
        <v>2</v>
      </c>
      <c r="I6" s="3" t="s">
        <v>52</v>
      </c>
      <c r="J6" s="16" t="s">
        <v>50</v>
      </c>
      <c r="K6" s="16" t="s">
        <v>53</v>
      </c>
      <c r="L6" s="16">
        <v>1</v>
      </c>
      <c r="M6" s="16">
        <v>2.75</v>
      </c>
      <c r="N6" s="16" t="s">
        <v>54</v>
      </c>
    </row>
    <row r="7" spans="1:27" ht="15.75" customHeight="1" x14ac:dyDescent="0.15">
      <c r="A7" s="2">
        <v>45704</v>
      </c>
      <c r="B7" s="3">
        <v>8</v>
      </c>
      <c r="C7" s="16" t="s">
        <v>17</v>
      </c>
      <c r="D7" s="16" t="s">
        <v>17</v>
      </c>
      <c r="E7" s="16" t="s">
        <v>17</v>
      </c>
      <c r="F7" s="16" t="s">
        <v>17</v>
      </c>
      <c r="G7" s="16" t="s">
        <v>17</v>
      </c>
      <c r="H7" s="3">
        <v>3</v>
      </c>
      <c r="I7" s="3" t="s">
        <v>52</v>
      </c>
      <c r="J7" s="16" t="s">
        <v>50</v>
      </c>
      <c r="K7" s="16" t="s">
        <v>53</v>
      </c>
      <c r="L7" s="16">
        <v>1</v>
      </c>
      <c r="M7" s="16">
        <v>2.75</v>
      </c>
      <c r="N7" s="16" t="s">
        <v>54</v>
      </c>
    </row>
    <row r="8" spans="1:27" ht="15.75" customHeight="1" x14ac:dyDescent="0.15">
      <c r="A8" s="2">
        <v>45704</v>
      </c>
      <c r="B8" s="3">
        <v>8</v>
      </c>
      <c r="C8" s="16" t="s">
        <v>17</v>
      </c>
      <c r="D8" s="16" t="s">
        <v>17</v>
      </c>
      <c r="E8" s="3" t="s">
        <v>32</v>
      </c>
      <c r="F8" s="4">
        <v>1E-4</v>
      </c>
      <c r="G8" s="4">
        <v>1E-4</v>
      </c>
      <c r="H8" s="3">
        <v>1</v>
      </c>
      <c r="I8" s="3" t="s">
        <v>25</v>
      </c>
      <c r="J8" s="16">
        <v>2.75</v>
      </c>
      <c r="K8" s="16" t="s">
        <v>17</v>
      </c>
      <c r="L8" s="16" t="s">
        <v>17</v>
      </c>
      <c r="M8" s="16" t="s">
        <v>17</v>
      </c>
      <c r="O8" s="16">
        <v>0</v>
      </c>
      <c r="P8" s="16">
        <v>0</v>
      </c>
      <c r="R8" s="16" t="s">
        <v>55</v>
      </c>
      <c r="S8" s="16" t="s">
        <v>56</v>
      </c>
      <c r="T8" s="16" t="s">
        <v>57</v>
      </c>
      <c r="U8" s="16" t="s">
        <v>58</v>
      </c>
      <c r="V8" s="16" t="s">
        <v>59</v>
      </c>
      <c r="W8" s="16" t="s">
        <v>60</v>
      </c>
      <c r="X8" s="16" t="s">
        <v>61</v>
      </c>
      <c r="Y8" s="16" t="s">
        <v>62</v>
      </c>
      <c r="Z8" s="16" t="s">
        <v>63</v>
      </c>
      <c r="AA8" s="16" t="s">
        <v>64</v>
      </c>
    </row>
    <row r="9" spans="1:27" ht="15.75" customHeight="1" x14ac:dyDescent="0.15">
      <c r="A9" s="2">
        <v>45704</v>
      </c>
      <c r="B9" s="3">
        <v>8</v>
      </c>
      <c r="C9" s="16" t="s">
        <v>17</v>
      </c>
      <c r="D9" s="16" t="s">
        <v>17</v>
      </c>
      <c r="E9" s="3" t="s">
        <v>32</v>
      </c>
      <c r="F9" s="4">
        <v>1E-4</v>
      </c>
      <c r="G9" s="4">
        <v>1E-4</v>
      </c>
      <c r="H9" s="3">
        <v>2</v>
      </c>
      <c r="I9" s="3" t="s">
        <v>25</v>
      </c>
      <c r="J9" s="16">
        <v>2.75</v>
      </c>
      <c r="K9" s="16" t="s">
        <v>17</v>
      </c>
      <c r="L9" s="16" t="s">
        <v>17</v>
      </c>
      <c r="M9" s="16" t="s">
        <v>17</v>
      </c>
      <c r="O9" s="16">
        <v>0</v>
      </c>
      <c r="P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</row>
    <row r="10" spans="1:27" ht="15.75" customHeight="1" x14ac:dyDescent="0.15">
      <c r="A10" s="2">
        <v>45704</v>
      </c>
      <c r="B10" s="3">
        <v>8</v>
      </c>
      <c r="C10" s="16" t="s">
        <v>17</v>
      </c>
      <c r="D10" s="16" t="s">
        <v>17</v>
      </c>
      <c r="E10" s="3" t="s">
        <v>32</v>
      </c>
      <c r="F10" s="4">
        <v>1E-4</v>
      </c>
      <c r="G10" s="4">
        <v>1E-4</v>
      </c>
      <c r="H10" s="3">
        <v>3</v>
      </c>
      <c r="I10" s="3" t="s">
        <v>25</v>
      </c>
      <c r="J10" s="16">
        <v>2.75</v>
      </c>
      <c r="K10" s="16" t="s">
        <v>17</v>
      </c>
      <c r="L10" s="16" t="s">
        <v>17</v>
      </c>
      <c r="M10" s="16" t="s">
        <v>17</v>
      </c>
      <c r="O10" s="16">
        <v>0</v>
      </c>
      <c r="P10" s="16">
        <v>0</v>
      </c>
      <c r="R10" s="16">
        <v>3</v>
      </c>
      <c r="S10" s="16">
        <f>P17</f>
        <v>2</v>
      </c>
      <c r="T10" s="16">
        <f>P18</f>
        <v>2.0130561528254467</v>
      </c>
      <c r="U10" s="16">
        <f>P19</f>
        <v>1.8036027871964966</v>
      </c>
      <c r="V10" s="16">
        <f>P20</f>
        <v>1.2321025462819031</v>
      </c>
      <c r="W10" s="16">
        <f>P21</f>
        <v>1.1158807120501397</v>
      </c>
      <c r="X10" s="16">
        <f>P22</f>
        <v>1.1110313123887441</v>
      </c>
      <c r="Y10" s="16">
        <f>P23</f>
        <v>0.27609055865924026</v>
      </c>
      <c r="Z10" s="16">
        <f>P24</f>
        <v>0.12071386578608323</v>
      </c>
      <c r="AA10" s="16">
        <f>P25</f>
        <v>0.38856528791765271</v>
      </c>
    </row>
    <row r="11" spans="1:27" ht="15.75" customHeight="1" x14ac:dyDescent="0.15">
      <c r="A11" s="2">
        <v>45704</v>
      </c>
      <c r="B11" s="3">
        <v>8</v>
      </c>
      <c r="C11" s="16" t="s">
        <v>17</v>
      </c>
      <c r="D11" s="16" t="s">
        <v>17</v>
      </c>
      <c r="E11" s="3" t="s">
        <v>29</v>
      </c>
      <c r="F11" s="3">
        <v>10</v>
      </c>
      <c r="G11" s="3">
        <v>10</v>
      </c>
      <c r="H11" s="3">
        <v>1</v>
      </c>
      <c r="I11" s="3" t="s">
        <v>25</v>
      </c>
      <c r="J11" s="16">
        <v>2.75</v>
      </c>
      <c r="K11" s="16" t="s">
        <v>17</v>
      </c>
      <c r="L11" s="16" t="s">
        <v>17</v>
      </c>
      <c r="M11" s="16" t="s">
        <v>17</v>
      </c>
      <c r="O11" s="16">
        <v>0</v>
      </c>
      <c r="P11" s="16">
        <v>0</v>
      </c>
      <c r="R11" s="16">
        <v>6</v>
      </c>
      <c r="S11" s="16">
        <f>P26</f>
        <v>3.3396556874367063</v>
      </c>
      <c r="T11" s="16">
        <f>P27</f>
        <v>3.4779127735129358</v>
      </c>
      <c r="U11" s="16">
        <f>P28</f>
        <v>3.5531370548657586</v>
      </c>
      <c r="V11" s="16">
        <f>P29</f>
        <v>1.0565835283663676</v>
      </c>
      <c r="W11" s="16">
        <f>P30</f>
        <v>1.0464593110926601</v>
      </c>
      <c r="X11" s="16">
        <f>P31</f>
        <v>1.0311385118089043</v>
      </c>
      <c r="Y11" s="16">
        <f>P32</f>
        <v>1.0454357637166456E-2</v>
      </c>
      <c r="Z11" s="16">
        <f>P33</f>
        <v>-2.6472211361190989E-2</v>
      </c>
      <c r="AA11" s="16">
        <f>P34</f>
        <v>-5.2557254514951079E-3</v>
      </c>
    </row>
    <row r="12" spans="1:27" ht="15.75" customHeight="1" x14ac:dyDescent="0.15">
      <c r="A12" s="2">
        <v>45704</v>
      </c>
      <c r="B12" s="3">
        <v>8</v>
      </c>
      <c r="C12" s="16" t="s">
        <v>17</v>
      </c>
      <c r="D12" s="16" t="s">
        <v>17</v>
      </c>
      <c r="E12" s="3" t="s">
        <v>29</v>
      </c>
      <c r="F12" s="3">
        <v>10</v>
      </c>
      <c r="G12" s="3">
        <v>10</v>
      </c>
      <c r="H12" s="3">
        <v>2</v>
      </c>
      <c r="I12" s="3" t="s">
        <v>25</v>
      </c>
      <c r="J12" s="16">
        <v>2.75</v>
      </c>
      <c r="K12" s="16" t="s">
        <v>17</v>
      </c>
      <c r="L12" s="16" t="s">
        <v>17</v>
      </c>
      <c r="M12" s="16" t="s">
        <v>17</v>
      </c>
      <c r="O12" s="16">
        <v>0</v>
      </c>
      <c r="P12" s="16">
        <v>0</v>
      </c>
      <c r="R12" s="16">
        <v>9</v>
      </c>
      <c r="S12" s="16">
        <f>P35</f>
        <v>5.0740005814437765</v>
      </c>
      <c r="T12" s="16">
        <f>P36</f>
        <v>5.4219238848640838</v>
      </c>
      <c r="U12" s="16">
        <f>P37</f>
        <v>5.4089848291565854</v>
      </c>
      <c r="V12" s="16">
        <f>P38</f>
        <v>1.0565835283663676</v>
      </c>
      <c r="W12" s="16">
        <f>P39</f>
        <v>1.0464593110926601</v>
      </c>
      <c r="X12" s="16">
        <f>P40</f>
        <v>1.0311385118089043</v>
      </c>
      <c r="Y12" s="16">
        <f>P41</f>
        <v>1.0454357637166456E-2</v>
      </c>
      <c r="Z12" s="16">
        <f>P42</f>
        <v>-2.6472211361190989E-2</v>
      </c>
      <c r="AA12" s="16">
        <f>P43</f>
        <v>-5.2557254514951079E-3</v>
      </c>
    </row>
    <row r="13" spans="1:27" ht="15.75" customHeight="1" x14ac:dyDescent="0.15">
      <c r="A13" s="2">
        <v>45704</v>
      </c>
      <c r="B13" s="3">
        <v>8</v>
      </c>
      <c r="C13" s="16" t="s">
        <v>17</v>
      </c>
      <c r="D13" s="16" t="s">
        <v>17</v>
      </c>
      <c r="E13" s="3" t="s">
        <v>29</v>
      </c>
      <c r="F13" s="3">
        <v>10</v>
      </c>
      <c r="G13" s="3">
        <v>10</v>
      </c>
      <c r="H13" s="3">
        <v>3</v>
      </c>
      <c r="I13" s="3" t="s">
        <v>25</v>
      </c>
      <c r="J13" s="16">
        <v>2.75</v>
      </c>
      <c r="K13" s="16" t="s">
        <v>17</v>
      </c>
      <c r="L13" s="16" t="s">
        <v>17</v>
      </c>
      <c r="M13" s="16" t="s">
        <v>17</v>
      </c>
      <c r="O13" s="16">
        <v>0</v>
      </c>
      <c r="P13" s="16">
        <v>0</v>
      </c>
      <c r="R13" s="16">
        <v>12</v>
      </c>
      <c r="S13" s="16">
        <f>P44</f>
        <v>6.6896598793878486</v>
      </c>
      <c r="T13" s="16">
        <f>P45</f>
        <v>6.5253325675622049</v>
      </c>
      <c r="U13" s="16">
        <f>P46</f>
        <v>6.5058627033639791</v>
      </c>
      <c r="V13" s="16">
        <f>P47</f>
        <v>1.0716378740886572</v>
      </c>
      <c r="W13" s="16">
        <f>P48</f>
        <v>1.2186402864753405</v>
      </c>
      <c r="X13" s="16">
        <f>P49</f>
        <v>0.88539687836014402</v>
      </c>
      <c r="Y13" s="16">
        <f>P50</f>
        <v>-0.71097038563326165</v>
      </c>
      <c r="Z13" s="16">
        <f>P51</f>
        <v>-1.2206447590501808</v>
      </c>
      <c r="AA13" s="16">
        <f>P52</f>
        <v>-0.85536029496843646</v>
      </c>
    </row>
    <row r="14" spans="1:27" ht="15.75" customHeight="1" x14ac:dyDescent="0.15">
      <c r="A14" s="2">
        <v>45704</v>
      </c>
      <c r="B14" s="3">
        <v>8</v>
      </c>
      <c r="C14" s="16" t="s">
        <v>17</v>
      </c>
      <c r="D14" s="16" t="s">
        <v>17</v>
      </c>
      <c r="E14" s="3" t="s">
        <v>29</v>
      </c>
      <c r="F14" s="3">
        <v>100</v>
      </c>
      <c r="G14" s="3">
        <v>100</v>
      </c>
      <c r="H14" s="3">
        <v>1</v>
      </c>
      <c r="I14" s="3" t="s">
        <v>25</v>
      </c>
      <c r="J14" s="16">
        <v>2.75</v>
      </c>
      <c r="K14" s="16" t="s">
        <v>17</v>
      </c>
      <c r="L14" s="16" t="s">
        <v>17</v>
      </c>
      <c r="M14" s="16" t="s">
        <v>17</v>
      </c>
      <c r="O14" s="16">
        <v>0</v>
      </c>
      <c r="P14" s="16">
        <v>0</v>
      </c>
      <c r="R14" s="16">
        <v>15</v>
      </c>
      <c r="S14" s="16">
        <f>$P53</f>
        <v>8.2767424758636299</v>
      </c>
      <c r="T14" s="16">
        <f>$P54</f>
        <v>8.2435409154952257</v>
      </c>
      <c r="U14" s="16">
        <f>$P55</f>
        <v>8.3395099740259475</v>
      </c>
      <c r="V14" s="16">
        <f>$P56</f>
        <v>1.0716378740886572</v>
      </c>
      <c r="W14" s="16">
        <f>$P57</f>
        <v>1.2186402864753405</v>
      </c>
      <c r="X14" s="16">
        <f>$P58</f>
        <v>0.88539687836014402</v>
      </c>
      <c r="Y14" s="16">
        <f>P59</f>
        <v>-0.71097038563326165</v>
      </c>
      <c r="Z14" s="16">
        <f>P60</f>
        <v>-1.2206447590501808</v>
      </c>
      <c r="AA14" s="16">
        <f>P61</f>
        <v>-0.85536029496843646</v>
      </c>
    </row>
    <row r="15" spans="1:27" ht="15.75" customHeight="1" x14ac:dyDescent="0.15">
      <c r="A15" s="2">
        <v>45704</v>
      </c>
      <c r="B15" s="3">
        <v>8</v>
      </c>
      <c r="C15" s="16" t="s">
        <v>17</v>
      </c>
      <c r="D15" s="16" t="s">
        <v>17</v>
      </c>
      <c r="E15" s="3" t="s">
        <v>29</v>
      </c>
      <c r="F15" s="3">
        <v>100</v>
      </c>
      <c r="G15" s="3">
        <v>100</v>
      </c>
      <c r="H15" s="3">
        <v>2</v>
      </c>
      <c r="I15" s="3" t="s">
        <v>25</v>
      </c>
      <c r="J15" s="16">
        <v>2.75</v>
      </c>
      <c r="K15" s="16" t="s">
        <v>17</v>
      </c>
      <c r="L15" s="16" t="s">
        <v>17</v>
      </c>
      <c r="M15" s="16" t="s">
        <v>17</v>
      </c>
      <c r="O15" s="16">
        <v>0</v>
      </c>
      <c r="P15" s="16">
        <v>0</v>
      </c>
      <c r="R15" s="16">
        <v>18</v>
      </c>
      <c r="S15" s="16">
        <f>P62</f>
        <v>9.6461364360919486</v>
      </c>
      <c r="T15" s="16">
        <f>P63</f>
        <v>9.6593290365604556</v>
      </c>
      <c r="U15" s="16">
        <f>P64</f>
        <v>9.7642327677699043</v>
      </c>
      <c r="V15" s="16">
        <f>P65</f>
        <v>1.310340120612151</v>
      </c>
      <c r="W15" s="16">
        <f>P66</f>
        <v>1.3187769577607904</v>
      </c>
      <c r="X15" s="16">
        <f>P67</f>
        <v>1.3561438102252754</v>
      </c>
      <c r="Y15" s="16">
        <f>P68</f>
        <v>-0.9535406889073399</v>
      </c>
      <c r="Z15" s="16">
        <f>P69</f>
        <v>-1.513823915455925</v>
      </c>
      <c r="AA15" s="16">
        <f>P70</f>
        <v>-1.4915252483471506</v>
      </c>
    </row>
    <row r="16" spans="1:27" ht="15.75" customHeight="1" x14ac:dyDescent="0.15">
      <c r="A16" s="2">
        <v>45704</v>
      </c>
      <c r="B16" s="3">
        <v>8</v>
      </c>
      <c r="C16" s="16" t="s">
        <v>17</v>
      </c>
      <c r="D16" s="16" t="s">
        <v>17</v>
      </c>
      <c r="E16" s="3" t="s">
        <v>29</v>
      </c>
      <c r="F16" s="3">
        <v>100</v>
      </c>
      <c r="G16" s="3">
        <v>100</v>
      </c>
      <c r="H16" s="3">
        <v>3</v>
      </c>
      <c r="I16" s="3" t="s">
        <v>25</v>
      </c>
      <c r="J16" s="16">
        <v>2.75</v>
      </c>
      <c r="K16" s="16" t="s">
        <v>17</v>
      </c>
      <c r="L16" s="16" t="s">
        <v>17</v>
      </c>
      <c r="M16" s="16" t="s">
        <v>17</v>
      </c>
      <c r="O16" s="16">
        <v>0</v>
      </c>
      <c r="P16" s="16">
        <v>0</v>
      </c>
      <c r="R16" s="16">
        <v>21</v>
      </c>
      <c r="S16" s="16">
        <f>P71</f>
        <v>11.335954081901399</v>
      </c>
      <c r="T16" s="16">
        <f>P72</f>
        <v>11.480111091883275</v>
      </c>
      <c r="U16" s="16">
        <f>P73</f>
        <v>11.332690064579509</v>
      </c>
      <c r="V16" s="16">
        <f>P74</f>
        <v>1.310340120612151</v>
      </c>
      <c r="W16" s="16">
        <f>P75</f>
        <v>1.3187769577607904</v>
      </c>
      <c r="X16" s="16">
        <f>P76</f>
        <v>1.3561438102252754</v>
      </c>
      <c r="Y16" s="16">
        <f>P77</f>
        <v>-0.9535406889073399</v>
      </c>
      <c r="Z16" s="16">
        <f>P78</f>
        <v>-1.513823915455925</v>
      </c>
      <c r="AA16" s="16">
        <f>P79</f>
        <v>-1.4915252483471506</v>
      </c>
    </row>
    <row r="17" spans="1:27" ht="15.75" customHeight="1" x14ac:dyDescent="0.15">
      <c r="A17" s="2">
        <v>45707</v>
      </c>
      <c r="B17" s="3">
        <v>11</v>
      </c>
      <c r="C17" s="3">
        <v>3</v>
      </c>
      <c r="D17" s="16" t="s">
        <v>17</v>
      </c>
      <c r="E17" s="3" t="s">
        <v>32</v>
      </c>
      <c r="F17" s="4">
        <v>1E-4</v>
      </c>
      <c r="G17" s="4">
        <v>1E-4</v>
      </c>
      <c r="H17" s="3">
        <v>1</v>
      </c>
      <c r="I17" s="3" t="s">
        <v>25</v>
      </c>
      <c r="J17" s="16">
        <v>11</v>
      </c>
      <c r="K17" s="16">
        <f t="shared" ref="K17:K19" si="0">J17/4</f>
        <v>2.75</v>
      </c>
      <c r="L17" s="16">
        <v>1</v>
      </c>
      <c r="M17" s="16">
        <v>2.75</v>
      </c>
      <c r="O17" s="16">
        <f t="shared" ref="O17:O25" si="1">LOG(J17/J8,2)</f>
        <v>2</v>
      </c>
      <c r="P17" s="16">
        <f t="shared" ref="P17:P25" si="2">O17</f>
        <v>2</v>
      </c>
      <c r="R17" s="16">
        <v>24</v>
      </c>
      <c r="S17" s="16">
        <f>P80</f>
        <v>13.119745070289492</v>
      </c>
      <c r="T17" s="16">
        <f>P81</f>
        <v>12.988500537011241</v>
      </c>
      <c r="U17" s="16">
        <f>P82</f>
        <v>12.988500537011245</v>
      </c>
      <c r="V17" s="16">
        <f>P83</f>
        <v>2.5779506033657835</v>
      </c>
      <c r="W17" s="16">
        <f>P84</f>
        <v>2.2095951468723332</v>
      </c>
      <c r="X17" s="16">
        <f>P85</f>
        <v>2.3187769577607904</v>
      </c>
      <c r="Y17" s="16">
        <f>P86</f>
        <v>2.2630344058337939</v>
      </c>
      <c r="Z17" s="16">
        <f>P87</f>
        <v>1.6178113802951632</v>
      </c>
      <c r="AA17" s="16">
        <f>P88</f>
        <v>0.83040284654021157</v>
      </c>
    </row>
    <row r="18" spans="1:27" ht="15.75" customHeight="1" x14ac:dyDescent="0.15">
      <c r="A18" s="2">
        <v>45707</v>
      </c>
      <c r="B18" s="3">
        <v>11</v>
      </c>
      <c r="C18" s="3">
        <v>3</v>
      </c>
      <c r="D18" s="16" t="s">
        <v>17</v>
      </c>
      <c r="E18" s="3" t="s">
        <v>32</v>
      </c>
      <c r="F18" s="4">
        <v>1E-4</v>
      </c>
      <c r="G18" s="4">
        <v>1E-4</v>
      </c>
      <c r="H18" s="3">
        <v>2</v>
      </c>
      <c r="I18" s="3" t="s">
        <v>25</v>
      </c>
      <c r="J18" s="16">
        <v>11.1</v>
      </c>
      <c r="K18" s="16">
        <f t="shared" si="0"/>
        <v>2.7749999999999999</v>
      </c>
      <c r="L18" s="16">
        <v>1</v>
      </c>
      <c r="M18" s="16">
        <v>2.7749999999999999</v>
      </c>
      <c r="O18" s="16">
        <f t="shared" si="1"/>
        <v>2.0130561528254467</v>
      </c>
      <c r="P18" s="16">
        <f t="shared" si="2"/>
        <v>2.0130561528254467</v>
      </c>
    </row>
    <row r="19" spans="1:27" ht="15.75" customHeight="1" x14ac:dyDescent="0.15">
      <c r="A19" s="2">
        <v>45707</v>
      </c>
      <c r="B19" s="3">
        <v>11</v>
      </c>
      <c r="C19" s="3">
        <v>3</v>
      </c>
      <c r="D19" s="16" t="s">
        <v>17</v>
      </c>
      <c r="E19" s="3" t="s">
        <v>32</v>
      </c>
      <c r="F19" s="4">
        <v>1E-4</v>
      </c>
      <c r="G19" s="4">
        <v>1E-4</v>
      </c>
      <c r="H19" s="3">
        <v>3</v>
      </c>
      <c r="I19" s="3" t="s">
        <v>25</v>
      </c>
      <c r="J19" s="16">
        <v>9.6</v>
      </c>
      <c r="K19" s="16">
        <f t="shared" si="0"/>
        <v>2.4</v>
      </c>
      <c r="L19" s="16">
        <v>1</v>
      </c>
      <c r="M19" s="16">
        <v>2.4</v>
      </c>
      <c r="O19" s="16">
        <f t="shared" si="1"/>
        <v>1.8036027871964966</v>
      </c>
      <c r="P19" s="16">
        <f t="shared" si="2"/>
        <v>1.8036027871964966</v>
      </c>
    </row>
    <row r="20" spans="1:27" ht="15.75" customHeight="1" x14ac:dyDescent="0.15">
      <c r="A20" s="2">
        <v>45707</v>
      </c>
      <c r="B20" s="3">
        <v>11</v>
      </c>
      <c r="C20" s="3">
        <v>3</v>
      </c>
      <c r="D20" s="16" t="s">
        <v>17</v>
      </c>
      <c r="E20" s="3" t="s">
        <v>29</v>
      </c>
      <c r="F20" s="3">
        <v>10</v>
      </c>
      <c r="G20" s="3">
        <v>100</v>
      </c>
      <c r="H20" s="3">
        <v>1</v>
      </c>
      <c r="I20" s="3" t="s">
        <v>25</v>
      </c>
      <c r="J20" s="16">
        <v>6.46</v>
      </c>
      <c r="K20" s="16">
        <f t="shared" ref="K20:K22" si="3">J20/2</f>
        <v>3.23</v>
      </c>
      <c r="L20" s="16">
        <v>1</v>
      </c>
      <c r="M20" s="16">
        <v>3.23</v>
      </c>
      <c r="O20" s="16">
        <f t="shared" si="1"/>
        <v>1.2321025462819031</v>
      </c>
      <c r="P20" s="16">
        <f t="shared" si="2"/>
        <v>1.2321025462819031</v>
      </c>
    </row>
    <row r="21" spans="1:27" ht="15.75" customHeight="1" x14ac:dyDescent="0.15">
      <c r="A21" s="2">
        <v>45707</v>
      </c>
      <c r="B21" s="3">
        <v>11</v>
      </c>
      <c r="C21" s="3">
        <v>3</v>
      </c>
      <c r="D21" s="16" t="s">
        <v>17</v>
      </c>
      <c r="E21" s="3" t="s">
        <v>29</v>
      </c>
      <c r="F21" s="3">
        <v>10</v>
      </c>
      <c r="G21" s="3">
        <v>100</v>
      </c>
      <c r="H21" s="3">
        <v>2</v>
      </c>
      <c r="I21" s="3" t="s">
        <v>25</v>
      </c>
      <c r="J21" s="16">
        <v>5.96</v>
      </c>
      <c r="K21" s="16">
        <f t="shared" si="3"/>
        <v>2.98</v>
      </c>
      <c r="L21" s="16">
        <v>1</v>
      </c>
      <c r="M21" s="16">
        <v>2.98</v>
      </c>
      <c r="O21" s="16">
        <f t="shared" si="1"/>
        <v>1.1158807120501397</v>
      </c>
      <c r="P21" s="16">
        <f t="shared" si="2"/>
        <v>1.1158807120501397</v>
      </c>
    </row>
    <row r="22" spans="1:27" ht="15.75" customHeight="1" x14ac:dyDescent="0.15">
      <c r="A22" s="2">
        <v>45707</v>
      </c>
      <c r="B22" s="3">
        <v>11</v>
      </c>
      <c r="C22" s="3">
        <v>3</v>
      </c>
      <c r="D22" s="16" t="s">
        <v>17</v>
      </c>
      <c r="E22" s="3" t="s">
        <v>29</v>
      </c>
      <c r="F22" s="3">
        <v>10</v>
      </c>
      <c r="G22" s="3">
        <v>100</v>
      </c>
      <c r="H22" s="3">
        <v>3</v>
      </c>
      <c r="I22" s="3" t="s">
        <v>25</v>
      </c>
      <c r="J22" s="16">
        <v>5.94</v>
      </c>
      <c r="K22" s="16">
        <f t="shared" si="3"/>
        <v>2.97</v>
      </c>
      <c r="L22" s="16">
        <v>1</v>
      </c>
      <c r="M22" s="16">
        <v>2.97</v>
      </c>
      <c r="O22" s="16">
        <f t="shared" si="1"/>
        <v>1.1110313123887441</v>
      </c>
      <c r="P22" s="16">
        <f t="shared" si="2"/>
        <v>1.1110313123887441</v>
      </c>
    </row>
    <row r="23" spans="1:27" ht="15.75" customHeight="1" x14ac:dyDescent="0.15">
      <c r="A23" s="2">
        <v>45707</v>
      </c>
      <c r="B23" s="3">
        <v>11</v>
      </c>
      <c r="C23" s="3">
        <v>3</v>
      </c>
      <c r="D23" s="16" t="s">
        <v>17</v>
      </c>
      <c r="E23" s="3" t="s">
        <v>29</v>
      </c>
      <c r="F23" s="3">
        <v>100</v>
      </c>
      <c r="G23" s="17">
        <v>1000</v>
      </c>
      <c r="H23" s="3">
        <v>1</v>
      </c>
      <c r="I23" s="3" t="s">
        <v>25</v>
      </c>
      <c r="J23" s="16">
        <v>3.33</v>
      </c>
      <c r="K23" s="16">
        <v>3.33</v>
      </c>
      <c r="L23" s="16" t="s">
        <v>17</v>
      </c>
      <c r="M23" s="16" t="s">
        <v>17</v>
      </c>
      <c r="O23" s="16">
        <f t="shared" si="1"/>
        <v>0.27609055865924026</v>
      </c>
      <c r="P23" s="16">
        <f t="shared" si="2"/>
        <v>0.27609055865924026</v>
      </c>
    </row>
    <row r="24" spans="1:27" ht="15.75" customHeight="1" x14ac:dyDescent="0.15">
      <c r="A24" s="2">
        <v>45707</v>
      </c>
      <c r="B24" s="3">
        <v>11</v>
      </c>
      <c r="C24" s="3">
        <v>3</v>
      </c>
      <c r="D24" s="16" t="s">
        <v>17</v>
      </c>
      <c r="E24" s="3" t="s">
        <v>29</v>
      </c>
      <c r="F24" s="3">
        <v>100</v>
      </c>
      <c r="G24" s="17">
        <v>1000</v>
      </c>
      <c r="H24" s="3">
        <v>2</v>
      </c>
      <c r="I24" s="3" t="s">
        <v>25</v>
      </c>
      <c r="J24" s="16">
        <v>2.99</v>
      </c>
      <c r="K24" s="16">
        <v>2.99</v>
      </c>
      <c r="L24" s="16" t="s">
        <v>17</v>
      </c>
      <c r="M24" s="16" t="s">
        <v>17</v>
      </c>
      <c r="O24" s="16">
        <f t="shared" si="1"/>
        <v>0.12071386578608323</v>
      </c>
      <c r="P24" s="16">
        <f t="shared" si="2"/>
        <v>0.12071386578608323</v>
      </c>
    </row>
    <row r="25" spans="1:27" ht="15.75" customHeight="1" x14ac:dyDescent="0.15">
      <c r="A25" s="2">
        <v>45707</v>
      </c>
      <c r="B25" s="3">
        <v>11</v>
      </c>
      <c r="C25" s="3">
        <v>3</v>
      </c>
      <c r="D25" s="16" t="s">
        <v>17</v>
      </c>
      <c r="E25" s="3" t="s">
        <v>29</v>
      </c>
      <c r="F25" s="3">
        <v>100</v>
      </c>
      <c r="G25" s="17">
        <v>1000</v>
      </c>
      <c r="H25" s="3">
        <v>3</v>
      </c>
      <c r="I25" s="3" t="s">
        <v>25</v>
      </c>
      <c r="J25" s="16">
        <v>3.6</v>
      </c>
      <c r="K25" s="16">
        <v>3.6</v>
      </c>
      <c r="L25" s="16" t="s">
        <v>17</v>
      </c>
      <c r="M25" s="16" t="s">
        <v>17</v>
      </c>
      <c r="O25" s="16">
        <f t="shared" si="1"/>
        <v>0.38856528791765271</v>
      </c>
      <c r="P25" s="16">
        <f t="shared" si="2"/>
        <v>0.38856528791765271</v>
      </c>
    </row>
    <row r="26" spans="1:27" ht="15.75" customHeight="1" x14ac:dyDescent="0.15">
      <c r="A26" s="2">
        <v>45710</v>
      </c>
      <c r="B26" s="3">
        <v>14</v>
      </c>
      <c r="C26" s="3">
        <v>6</v>
      </c>
      <c r="D26" s="16" t="s">
        <v>17</v>
      </c>
      <c r="E26" s="3" t="s">
        <v>32</v>
      </c>
      <c r="F26" s="4">
        <v>1E-4</v>
      </c>
      <c r="G26" s="4">
        <v>1E-4</v>
      </c>
      <c r="H26" s="3">
        <v>1</v>
      </c>
      <c r="I26" s="3" t="s">
        <v>25</v>
      </c>
      <c r="J26" s="16">
        <v>6.96</v>
      </c>
      <c r="K26" s="16">
        <f t="shared" ref="K26:K28" si="4">J26*0.38</f>
        <v>2.6448</v>
      </c>
      <c r="L26" s="16" t="s">
        <v>17</v>
      </c>
      <c r="M26" s="16" t="s">
        <v>17</v>
      </c>
      <c r="O26" s="16">
        <f t="shared" ref="O26:O37" si="5">LOG(J26/K17,2)</f>
        <v>1.3396556874367063</v>
      </c>
      <c r="P26" s="16">
        <f t="shared" ref="P26:P88" si="6">O26+P17</f>
        <v>3.3396556874367063</v>
      </c>
    </row>
    <row r="27" spans="1:27" ht="15.75" customHeight="1" x14ac:dyDescent="0.15">
      <c r="A27" s="2">
        <v>45710</v>
      </c>
      <c r="B27" s="3">
        <v>14</v>
      </c>
      <c r="C27" s="3">
        <v>6</v>
      </c>
      <c r="D27" s="16" t="s">
        <v>17</v>
      </c>
      <c r="E27" s="3" t="s">
        <v>32</v>
      </c>
      <c r="F27" s="4">
        <v>1E-4</v>
      </c>
      <c r="G27" s="4">
        <v>1E-4</v>
      </c>
      <c r="H27" s="3">
        <v>2</v>
      </c>
      <c r="I27" s="3" t="s">
        <v>25</v>
      </c>
      <c r="J27" s="16">
        <v>7.66</v>
      </c>
      <c r="K27" s="16">
        <f t="shared" si="4"/>
        <v>2.9108000000000001</v>
      </c>
      <c r="L27" s="16" t="s">
        <v>17</v>
      </c>
      <c r="M27" s="16" t="s">
        <v>17</v>
      </c>
      <c r="O27" s="16">
        <f t="shared" si="5"/>
        <v>1.4648566206874891</v>
      </c>
      <c r="P27" s="16">
        <f t="shared" si="6"/>
        <v>3.4779127735129358</v>
      </c>
    </row>
    <row r="28" spans="1:27" ht="15.75" customHeight="1" x14ac:dyDescent="0.15">
      <c r="A28" s="2">
        <v>45710</v>
      </c>
      <c r="B28" s="3">
        <v>14</v>
      </c>
      <c r="C28" s="3">
        <v>6</v>
      </c>
      <c r="D28" s="16" t="s">
        <v>17</v>
      </c>
      <c r="E28" s="3" t="s">
        <v>32</v>
      </c>
      <c r="F28" s="4">
        <v>1E-4</v>
      </c>
      <c r="G28" s="4">
        <v>1E-4</v>
      </c>
      <c r="H28" s="3">
        <v>3</v>
      </c>
      <c r="I28" s="3" t="s">
        <v>25</v>
      </c>
      <c r="J28" s="16">
        <v>8.07</v>
      </c>
      <c r="K28" s="16">
        <f t="shared" si="4"/>
        <v>3.0666000000000002</v>
      </c>
      <c r="L28" s="16" t="s">
        <v>17</v>
      </c>
      <c r="M28" s="16" t="s">
        <v>17</v>
      </c>
      <c r="O28" s="16">
        <f t="shared" si="5"/>
        <v>1.749534267669262</v>
      </c>
      <c r="P28" s="16">
        <f t="shared" si="6"/>
        <v>3.5531370548657586</v>
      </c>
    </row>
    <row r="29" spans="1:27" ht="15.75" customHeight="1" x14ac:dyDescent="0.15">
      <c r="A29" s="2">
        <v>45710</v>
      </c>
      <c r="B29" s="3">
        <v>14</v>
      </c>
      <c r="C29" s="3">
        <v>6</v>
      </c>
      <c r="D29" s="16" t="s">
        <v>17</v>
      </c>
      <c r="E29" s="3" t="s">
        <v>29</v>
      </c>
      <c r="F29" s="3">
        <v>10</v>
      </c>
      <c r="G29" s="3">
        <v>100</v>
      </c>
      <c r="H29" s="3">
        <v>1</v>
      </c>
      <c r="I29" s="15" t="s">
        <v>52</v>
      </c>
      <c r="J29" s="16">
        <v>2.86</v>
      </c>
      <c r="K29" s="16">
        <v>2.86</v>
      </c>
      <c r="L29" s="16" t="s">
        <v>17</v>
      </c>
      <c r="M29" s="16" t="s">
        <v>17</v>
      </c>
      <c r="O29" s="16">
        <f t="shared" si="5"/>
        <v>-0.17551901791553548</v>
      </c>
      <c r="P29" s="16">
        <f t="shared" si="6"/>
        <v>1.0565835283663676</v>
      </c>
    </row>
    <row r="30" spans="1:27" ht="15.75" customHeight="1" x14ac:dyDescent="0.15">
      <c r="A30" s="2">
        <v>45710</v>
      </c>
      <c r="B30" s="3">
        <v>14</v>
      </c>
      <c r="C30" s="3">
        <v>6</v>
      </c>
      <c r="D30" s="16" t="s">
        <v>17</v>
      </c>
      <c r="E30" s="3" t="s">
        <v>29</v>
      </c>
      <c r="F30" s="3">
        <v>10</v>
      </c>
      <c r="G30" s="3">
        <v>100</v>
      </c>
      <c r="H30" s="3">
        <v>2</v>
      </c>
      <c r="I30" s="15" t="s">
        <v>52</v>
      </c>
      <c r="J30" s="16">
        <v>2.84</v>
      </c>
      <c r="K30" s="16">
        <v>2.84</v>
      </c>
      <c r="L30" s="16" t="s">
        <v>17</v>
      </c>
      <c r="M30" s="16" t="s">
        <v>17</v>
      </c>
      <c r="O30" s="16">
        <f t="shared" si="5"/>
        <v>-6.9421400957479576E-2</v>
      </c>
      <c r="P30" s="16">
        <f t="shared" si="6"/>
        <v>1.0464593110926601</v>
      </c>
    </row>
    <row r="31" spans="1:27" ht="15.75" customHeight="1" x14ac:dyDescent="0.15">
      <c r="A31" s="2">
        <v>45710</v>
      </c>
      <c r="B31" s="3">
        <v>14</v>
      </c>
      <c r="C31" s="3">
        <v>6</v>
      </c>
      <c r="D31" s="16" t="s">
        <v>17</v>
      </c>
      <c r="E31" s="3" t="s">
        <v>29</v>
      </c>
      <c r="F31" s="3">
        <v>10</v>
      </c>
      <c r="G31" s="3">
        <v>100</v>
      </c>
      <c r="H31" s="3">
        <v>3</v>
      </c>
      <c r="I31" s="15" t="s">
        <v>52</v>
      </c>
      <c r="J31" s="16">
        <v>2.81</v>
      </c>
      <c r="K31" s="16">
        <v>2.81</v>
      </c>
      <c r="L31" s="16" t="s">
        <v>17</v>
      </c>
      <c r="M31" s="16" t="s">
        <v>17</v>
      </c>
      <c r="O31" s="16">
        <f t="shared" si="5"/>
        <v>-7.9892800579839829E-2</v>
      </c>
      <c r="P31" s="16">
        <f t="shared" si="6"/>
        <v>1.0311385118089043</v>
      </c>
    </row>
    <row r="32" spans="1:27" ht="15.75" customHeight="1" x14ac:dyDescent="0.15">
      <c r="A32" s="2">
        <v>45710</v>
      </c>
      <c r="B32" s="3">
        <v>14</v>
      </c>
      <c r="C32" s="3">
        <v>6</v>
      </c>
      <c r="D32" s="16" t="s">
        <v>17</v>
      </c>
      <c r="E32" s="3" t="s">
        <v>29</v>
      </c>
      <c r="F32" s="3">
        <v>100</v>
      </c>
      <c r="G32" s="17">
        <v>1000</v>
      </c>
      <c r="H32" s="3">
        <v>1</v>
      </c>
      <c r="I32" s="15" t="s">
        <v>52</v>
      </c>
      <c r="J32" s="16">
        <v>2.77</v>
      </c>
      <c r="K32" s="16">
        <v>2.77</v>
      </c>
      <c r="L32" s="16" t="s">
        <v>17</v>
      </c>
      <c r="M32" s="16" t="s">
        <v>17</v>
      </c>
      <c r="O32" s="16">
        <f t="shared" si="5"/>
        <v>-0.2656362010220738</v>
      </c>
      <c r="P32" s="16">
        <f t="shared" si="6"/>
        <v>1.0454357637166456E-2</v>
      </c>
    </row>
    <row r="33" spans="1:16" ht="15.75" customHeight="1" x14ac:dyDescent="0.15">
      <c r="A33" s="2">
        <v>45710</v>
      </c>
      <c r="B33" s="3">
        <v>14</v>
      </c>
      <c r="C33" s="3">
        <v>6</v>
      </c>
      <c r="D33" s="16" t="s">
        <v>17</v>
      </c>
      <c r="E33" s="3" t="s">
        <v>29</v>
      </c>
      <c r="F33" s="3">
        <v>100</v>
      </c>
      <c r="G33" s="17">
        <v>1000</v>
      </c>
      <c r="H33" s="3">
        <v>2</v>
      </c>
      <c r="I33" s="15" t="s">
        <v>52</v>
      </c>
      <c r="J33" s="16">
        <v>2.7</v>
      </c>
      <c r="K33" s="16">
        <v>2.7</v>
      </c>
      <c r="L33" s="16" t="s">
        <v>17</v>
      </c>
      <c r="M33" s="16" t="s">
        <v>17</v>
      </c>
      <c r="O33" s="16">
        <f t="shared" si="5"/>
        <v>-0.14718607714727422</v>
      </c>
      <c r="P33" s="16">
        <f t="shared" si="6"/>
        <v>-2.6472211361190989E-2</v>
      </c>
    </row>
    <row r="34" spans="1:16" ht="15.75" customHeight="1" x14ac:dyDescent="0.15">
      <c r="A34" s="2">
        <v>45710</v>
      </c>
      <c r="B34" s="3">
        <v>14</v>
      </c>
      <c r="C34" s="3">
        <v>6</v>
      </c>
      <c r="D34" s="16" t="s">
        <v>17</v>
      </c>
      <c r="E34" s="3" t="s">
        <v>29</v>
      </c>
      <c r="F34" s="3">
        <v>100</v>
      </c>
      <c r="G34" s="17">
        <v>1000</v>
      </c>
      <c r="H34" s="3">
        <v>3</v>
      </c>
      <c r="I34" s="15" t="s">
        <v>52</v>
      </c>
      <c r="J34" s="16">
        <v>2.74</v>
      </c>
      <c r="K34" s="16">
        <v>2.74</v>
      </c>
      <c r="L34" s="16" t="s">
        <v>17</v>
      </c>
      <c r="M34" s="16" t="s">
        <v>17</v>
      </c>
      <c r="O34" s="16">
        <f t="shared" si="5"/>
        <v>-0.39382101336914782</v>
      </c>
      <c r="P34" s="16">
        <f t="shared" si="6"/>
        <v>-5.2557254514951079E-3</v>
      </c>
    </row>
    <row r="35" spans="1:16" ht="15.75" customHeight="1" x14ac:dyDescent="0.15">
      <c r="A35" s="2">
        <v>45713</v>
      </c>
      <c r="B35" s="3">
        <v>17</v>
      </c>
      <c r="C35" s="3">
        <v>9</v>
      </c>
      <c r="D35" s="16" t="s">
        <v>17</v>
      </c>
      <c r="E35" s="3" t="s">
        <v>32</v>
      </c>
      <c r="F35" s="4">
        <v>1E-4</v>
      </c>
      <c r="G35" s="4">
        <v>1E-4</v>
      </c>
      <c r="H35" s="3">
        <v>1</v>
      </c>
      <c r="I35" s="3" t="s">
        <v>25</v>
      </c>
      <c r="J35" s="16">
        <v>8.8000000000000007</v>
      </c>
      <c r="K35" s="16">
        <f t="shared" ref="K35:K37" si="7">J35*0.31</f>
        <v>2.7280000000000002</v>
      </c>
      <c r="L35" s="16" t="s">
        <v>17</v>
      </c>
      <c r="M35" s="16" t="s">
        <v>17</v>
      </c>
      <c r="N35" s="18" t="s">
        <v>65</v>
      </c>
      <c r="O35" s="16">
        <f t="shared" si="5"/>
        <v>1.7343448940070705</v>
      </c>
      <c r="P35" s="16">
        <f t="shared" si="6"/>
        <v>5.0740005814437765</v>
      </c>
    </row>
    <row r="36" spans="1:16" ht="15.75" customHeight="1" x14ac:dyDescent="0.15">
      <c r="A36" s="2">
        <v>45713</v>
      </c>
      <c r="B36" s="3">
        <v>17</v>
      </c>
      <c r="C36" s="3">
        <v>9</v>
      </c>
      <c r="D36" s="16" t="s">
        <v>17</v>
      </c>
      <c r="E36" s="3" t="s">
        <v>32</v>
      </c>
      <c r="F36" s="4">
        <v>1E-4</v>
      </c>
      <c r="G36" s="4">
        <v>1E-4</v>
      </c>
      <c r="H36" s="3">
        <v>2</v>
      </c>
      <c r="I36" s="3" t="s">
        <v>25</v>
      </c>
      <c r="J36" s="16">
        <v>11.2</v>
      </c>
      <c r="K36" s="16">
        <f t="shared" si="7"/>
        <v>3.472</v>
      </c>
      <c r="L36" s="16" t="s">
        <v>17</v>
      </c>
      <c r="M36" s="16" t="s">
        <v>17</v>
      </c>
      <c r="N36" s="18" t="s">
        <v>66</v>
      </c>
      <c r="O36" s="16">
        <f t="shared" si="5"/>
        <v>1.9440111113511485</v>
      </c>
      <c r="P36" s="16">
        <f t="shared" si="6"/>
        <v>5.4219238848640838</v>
      </c>
    </row>
    <row r="37" spans="1:16" ht="15.75" customHeight="1" x14ac:dyDescent="0.15">
      <c r="A37" s="2">
        <v>45713</v>
      </c>
      <c r="B37" s="3">
        <v>17</v>
      </c>
      <c r="C37" s="3">
        <v>9</v>
      </c>
      <c r="D37" s="16" t="s">
        <v>17</v>
      </c>
      <c r="E37" s="3" t="s">
        <v>32</v>
      </c>
      <c r="F37" s="4">
        <v>1E-4</v>
      </c>
      <c r="G37" s="4">
        <v>1E-4</v>
      </c>
      <c r="H37" s="3">
        <v>3</v>
      </c>
      <c r="I37" s="3" t="s">
        <v>25</v>
      </c>
      <c r="J37" s="16">
        <v>11.1</v>
      </c>
      <c r="K37" s="16">
        <f t="shared" si="7"/>
        <v>3.4409999999999998</v>
      </c>
      <c r="L37" s="16" t="s">
        <v>17</v>
      </c>
      <c r="M37" s="16" t="s">
        <v>17</v>
      </c>
      <c r="N37" s="16" t="s">
        <v>67</v>
      </c>
      <c r="O37" s="16">
        <f t="shared" si="5"/>
        <v>1.855847774290827</v>
      </c>
      <c r="P37" s="16">
        <f t="shared" si="6"/>
        <v>5.4089848291565854</v>
      </c>
    </row>
    <row r="38" spans="1:16" ht="15.75" customHeight="1" x14ac:dyDescent="0.15">
      <c r="A38" s="2">
        <v>45713</v>
      </c>
      <c r="B38" s="3">
        <v>17</v>
      </c>
      <c r="C38" s="3">
        <v>9</v>
      </c>
      <c r="D38" s="16" t="s">
        <v>17</v>
      </c>
      <c r="E38" s="3" t="s">
        <v>29</v>
      </c>
      <c r="F38" s="3">
        <v>10</v>
      </c>
      <c r="G38" s="3">
        <v>100</v>
      </c>
      <c r="H38" s="3">
        <v>1</v>
      </c>
      <c r="I38" s="15" t="s">
        <v>52</v>
      </c>
      <c r="J38" s="16" t="s">
        <v>17</v>
      </c>
      <c r="K38" s="16" t="s">
        <v>17</v>
      </c>
      <c r="L38" s="16" t="s">
        <v>17</v>
      </c>
      <c r="M38" s="16" t="s">
        <v>17</v>
      </c>
      <c r="O38" s="16">
        <v>0</v>
      </c>
      <c r="P38" s="16">
        <f t="shared" si="6"/>
        <v>1.0565835283663676</v>
      </c>
    </row>
    <row r="39" spans="1:16" ht="15.75" customHeight="1" x14ac:dyDescent="0.15">
      <c r="A39" s="2">
        <v>45713</v>
      </c>
      <c r="B39" s="3">
        <v>17</v>
      </c>
      <c r="C39" s="3">
        <v>9</v>
      </c>
      <c r="D39" s="16" t="s">
        <v>17</v>
      </c>
      <c r="E39" s="3" t="s">
        <v>29</v>
      </c>
      <c r="F39" s="3">
        <v>10</v>
      </c>
      <c r="G39" s="3">
        <v>100</v>
      </c>
      <c r="H39" s="3">
        <v>2</v>
      </c>
      <c r="I39" s="15" t="s">
        <v>52</v>
      </c>
      <c r="J39" s="16" t="s">
        <v>17</v>
      </c>
      <c r="K39" s="16" t="s">
        <v>17</v>
      </c>
      <c r="L39" s="16" t="s">
        <v>17</v>
      </c>
      <c r="M39" s="16" t="s">
        <v>17</v>
      </c>
      <c r="O39" s="16">
        <v>0</v>
      </c>
      <c r="P39" s="16">
        <f t="shared" si="6"/>
        <v>1.0464593110926601</v>
      </c>
    </row>
    <row r="40" spans="1:16" ht="15.75" customHeight="1" x14ac:dyDescent="0.15">
      <c r="A40" s="2">
        <v>45713</v>
      </c>
      <c r="B40" s="3">
        <v>17</v>
      </c>
      <c r="C40" s="3">
        <v>9</v>
      </c>
      <c r="D40" s="16" t="s">
        <v>17</v>
      </c>
      <c r="E40" s="3" t="s">
        <v>29</v>
      </c>
      <c r="F40" s="3">
        <v>10</v>
      </c>
      <c r="G40" s="3">
        <v>100</v>
      </c>
      <c r="H40" s="3">
        <v>3</v>
      </c>
      <c r="I40" s="15" t="s">
        <v>52</v>
      </c>
      <c r="J40" s="16" t="s">
        <v>17</v>
      </c>
      <c r="K40" s="16" t="s">
        <v>17</v>
      </c>
      <c r="L40" s="16" t="s">
        <v>17</v>
      </c>
      <c r="M40" s="16" t="s">
        <v>17</v>
      </c>
      <c r="O40" s="16">
        <v>0</v>
      </c>
      <c r="P40" s="16">
        <f t="shared" si="6"/>
        <v>1.0311385118089043</v>
      </c>
    </row>
    <row r="41" spans="1:16" ht="15.75" customHeight="1" x14ac:dyDescent="0.15">
      <c r="A41" s="2">
        <v>45713</v>
      </c>
      <c r="B41" s="3">
        <v>17</v>
      </c>
      <c r="C41" s="3">
        <v>9</v>
      </c>
      <c r="D41" s="16" t="s">
        <v>17</v>
      </c>
      <c r="E41" s="3" t="s">
        <v>29</v>
      </c>
      <c r="F41" s="3">
        <v>100</v>
      </c>
      <c r="G41" s="17">
        <v>1000</v>
      </c>
      <c r="H41" s="3">
        <v>1</v>
      </c>
      <c r="I41" s="15" t="s">
        <v>52</v>
      </c>
      <c r="J41" s="16" t="s">
        <v>17</v>
      </c>
      <c r="K41" s="16" t="s">
        <v>17</v>
      </c>
      <c r="L41" s="16" t="s">
        <v>17</v>
      </c>
      <c r="M41" s="16" t="s">
        <v>17</v>
      </c>
      <c r="O41" s="16">
        <v>0</v>
      </c>
      <c r="P41" s="16">
        <f t="shared" si="6"/>
        <v>1.0454357637166456E-2</v>
      </c>
    </row>
    <row r="42" spans="1:16" ht="15.75" customHeight="1" x14ac:dyDescent="0.15">
      <c r="A42" s="2">
        <v>45713</v>
      </c>
      <c r="B42" s="3">
        <v>17</v>
      </c>
      <c r="C42" s="3">
        <v>9</v>
      </c>
      <c r="D42" s="16" t="s">
        <v>17</v>
      </c>
      <c r="E42" s="3" t="s">
        <v>29</v>
      </c>
      <c r="F42" s="3">
        <v>100</v>
      </c>
      <c r="G42" s="17">
        <v>1000</v>
      </c>
      <c r="H42" s="3">
        <v>2</v>
      </c>
      <c r="I42" s="15" t="s">
        <v>52</v>
      </c>
      <c r="J42" s="16" t="s">
        <v>17</v>
      </c>
      <c r="K42" s="16" t="s">
        <v>17</v>
      </c>
      <c r="L42" s="16" t="s">
        <v>17</v>
      </c>
      <c r="M42" s="16" t="s">
        <v>17</v>
      </c>
      <c r="O42" s="16">
        <v>0</v>
      </c>
      <c r="P42" s="16">
        <f t="shared" si="6"/>
        <v>-2.6472211361190989E-2</v>
      </c>
    </row>
    <row r="43" spans="1:16" ht="15.75" customHeight="1" x14ac:dyDescent="0.15">
      <c r="A43" s="2">
        <v>45713</v>
      </c>
      <c r="B43" s="3">
        <v>17</v>
      </c>
      <c r="C43" s="3">
        <v>9</v>
      </c>
      <c r="D43" s="16" t="s">
        <v>17</v>
      </c>
      <c r="E43" s="3" t="s">
        <v>29</v>
      </c>
      <c r="F43" s="3">
        <v>100</v>
      </c>
      <c r="G43" s="17">
        <v>1000</v>
      </c>
      <c r="H43" s="3">
        <v>3</v>
      </c>
      <c r="I43" s="15" t="s">
        <v>52</v>
      </c>
      <c r="J43" s="16" t="s">
        <v>17</v>
      </c>
      <c r="K43" s="16" t="s">
        <v>17</v>
      </c>
      <c r="L43" s="16" t="s">
        <v>17</v>
      </c>
      <c r="M43" s="16" t="s">
        <v>17</v>
      </c>
      <c r="O43" s="16">
        <v>0</v>
      </c>
      <c r="P43" s="16">
        <f t="shared" si="6"/>
        <v>-5.2557254514951079E-3</v>
      </c>
    </row>
    <row r="44" spans="1:16" ht="15.75" customHeight="1" x14ac:dyDescent="0.15">
      <c r="A44" s="19">
        <v>45716</v>
      </c>
      <c r="B44" s="16">
        <v>20</v>
      </c>
      <c r="C44" s="16">
        <v>12</v>
      </c>
      <c r="D44" s="16" t="s">
        <v>17</v>
      </c>
      <c r="E44" s="3" t="s">
        <v>32</v>
      </c>
      <c r="F44" s="4">
        <v>1E-4</v>
      </c>
      <c r="G44" s="4">
        <v>1E-4</v>
      </c>
      <c r="H44" s="3">
        <v>1</v>
      </c>
      <c r="I44" s="3" t="s">
        <v>25</v>
      </c>
      <c r="J44" s="16">
        <v>8.36</v>
      </c>
      <c r="K44" s="16">
        <f t="shared" ref="K44:K46" si="8">J44*0.385</f>
        <v>3.2185999999999999</v>
      </c>
      <c r="L44" s="16" t="s">
        <v>17</v>
      </c>
      <c r="M44" s="16" t="s">
        <v>17</v>
      </c>
      <c r="O44" s="16">
        <f t="shared" ref="O44:O46" si="9">LOG(J44/K35,2)</f>
        <v>1.6156592979440725</v>
      </c>
      <c r="P44" s="16">
        <f t="shared" si="6"/>
        <v>6.6896598793878486</v>
      </c>
    </row>
    <row r="45" spans="1:16" ht="15.75" customHeight="1" x14ac:dyDescent="0.15">
      <c r="A45" s="19">
        <v>45716</v>
      </c>
      <c r="B45" s="16">
        <v>20</v>
      </c>
      <c r="C45" s="16">
        <v>12</v>
      </c>
      <c r="D45" s="16" t="s">
        <v>17</v>
      </c>
      <c r="E45" s="3" t="s">
        <v>32</v>
      </c>
      <c r="F45" s="4">
        <v>1E-4</v>
      </c>
      <c r="G45" s="4">
        <v>1E-4</v>
      </c>
      <c r="H45" s="3">
        <v>2</v>
      </c>
      <c r="I45" s="3" t="s">
        <v>25</v>
      </c>
      <c r="J45" s="16">
        <v>7.46</v>
      </c>
      <c r="K45" s="16">
        <f t="shared" si="8"/>
        <v>2.8721000000000001</v>
      </c>
      <c r="L45" s="16" t="s">
        <v>17</v>
      </c>
      <c r="M45" s="16" t="s">
        <v>17</v>
      </c>
      <c r="O45" s="16">
        <f t="shared" si="9"/>
        <v>1.1034086826981209</v>
      </c>
      <c r="P45" s="16">
        <f t="shared" si="6"/>
        <v>6.5253325675622049</v>
      </c>
    </row>
    <row r="46" spans="1:16" ht="15.75" customHeight="1" x14ac:dyDescent="0.15">
      <c r="A46" s="19">
        <v>45716</v>
      </c>
      <c r="B46" s="16">
        <v>20</v>
      </c>
      <c r="C46" s="16">
        <v>12</v>
      </c>
      <c r="D46" s="16" t="s">
        <v>17</v>
      </c>
      <c r="E46" s="3" t="s">
        <v>32</v>
      </c>
      <c r="F46" s="4">
        <v>1E-4</v>
      </c>
      <c r="G46" s="4">
        <v>1E-4</v>
      </c>
      <c r="H46" s="3">
        <v>3</v>
      </c>
      <c r="I46" s="3" t="s">
        <v>25</v>
      </c>
      <c r="J46" s="16">
        <v>7.36</v>
      </c>
      <c r="K46" s="16">
        <f t="shared" si="8"/>
        <v>2.8336000000000001</v>
      </c>
      <c r="L46" s="16" t="s">
        <v>17</v>
      </c>
      <c r="M46" s="16" t="s">
        <v>17</v>
      </c>
      <c r="O46" s="16">
        <f t="shared" si="9"/>
        <v>1.0968778742073941</v>
      </c>
      <c r="P46" s="16">
        <f t="shared" si="6"/>
        <v>6.5058627033639791</v>
      </c>
    </row>
    <row r="47" spans="1:16" ht="15.75" customHeight="1" x14ac:dyDescent="0.15">
      <c r="A47" s="19">
        <v>45716</v>
      </c>
      <c r="B47" s="16">
        <v>20</v>
      </c>
      <c r="C47" s="16">
        <v>12</v>
      </c>
      <c r="D47" s="16" t="s">
        <v>17</v>
      </c>
      <c r="E47" s="3" t="s">
        <v>29</v>
      </c>
      <c r="F47" s="3">
        <v>10</v>
      </c>
      <c r="G47" s="3">
        <v>100</v>
      </c>
      <c r="H47" s="3">
        <v>1</v>
      </c>
      <c r="I47" s="15" t="s">
        <v>52</v>
      </c>
      <c r="J47" s="16">
        <v>2.89</v>
      </c>
      <c r="K47" s="16">
        <v>2.89</v>
      </c>
      <c r="L47" s="16" t="s">
        <v>17</v>
      </c>
      <c r="M47" s="16" t="s">
        <v>17</v>
      </c>
      <c r="O47" s="16">
        <f t="shared" ref="O47:O52" si="10">LOG(J47/K29,2)</f>
        <v>1.5054345722289607E-2</v>
      </c>
      <c r="P47" s="16">
        <f t="shared" si="6"/>
        <v>1.0716378740886572</v>
      </c>
    </row>
    <row r="48" spans="1:16" ht="15.75" customHeight="1" x14ac:dyDescent="0.15">
      <c r="A48" s="19">
        <v>45716</v>
      </c>
      <c r="B48" s="16">
        <v>20</v>
      </c>
      <c r="C48" s="16">
        <v>12</v>
      </c>
      <c r="D48" s="16" t="s">
        <v>17</v>
      </c>
      <c r="E48" s="3" t="s">
        <v>29</v>
      </c>
      <c r="F48" s="3">
        <v>10</v>
      </c>
      <c r="G48" s="3">
        <v>100</v>
      </c>
      <c r="H48" s="3">
        <v>2</v>
      </c>
      <c r="I48" s="15" t="s">
        <v>52</v>
      </c>
      <c r="J48" s="16">
        <v>3.2</v>
      </c>
      <c r="K48" s="16">
        <v>3.2</v>
      </c>
      <c r="L48" s="16" t="s">
        <v>17</v>
      </c>
      <c r="M48" s="16" t="s">
        <v>17</v>
      </c>
      <c r="O48" s="16">
        <f t="shared" si="10"/>
        <v>0.17218097538268035</v>
      </c>
      <c r="P48" s="16">
        <f t="shared" si="6"/>
        <v>1.2186402864753405</v>
      </c>
    </row>
    <row r="49" spans="1:16" ht="15.75" customHeight="1" x14ac:dyDescent="0.15">
      <c r="A49" s="19">
        <v>45716</v>
      </c>
      <c r="B49" s="16">
        <v>20</v>
      </c>
      <c r="C49" s="16">
        <v>12</v>
      </c>
      <c r="D49" s="16" t="s">
        <v>17</v>
      </c>
      <c r="E49" s="3" t="s">
        <v>29</v>
      </c>
      <c r="F49" s="3">
        <v>10</v>
      </c>
      <c r="G49" s="3">
        <v>100</v>
      </c>
      <c r="H49" s="3">
        <v>3</v>
      </c>
      <c r="I49" s="15" t="s">
        <v>52</v>
      </c>
      <c r="J49" s="16">
        <v>2.54</v>
      </c>
      <c r="K49" s="16">
        <v>2.54</v>
      </c>
      <c r="L49" s="16" t="s">
        <v>17</v>
      </c>
      <c r="M49" s="16" t="s">
        <v>17</v>
      </c>
      <c r="O49" s="16">
        <f t="shared" si="10"/>
        <v>-0.14574163344876029</v>
      </c>
      <c r="P49" s="16">
        <f t="shared" si="6"/>
        <v>0.88539687836014402</v>
      </c>
    </row>
    <row r="50" spans="1:16" ht="15.75" customHeight="1" x14ac:dyDescent="0.15">
      <c r="A50" s="19">
        <v>45716</v>
      </c>
      <c r="B50" s="16">
        <v>20</v>
      </c>
      <c r="C50" s="16">
        <v>12</v>
      </c>
      <c r="D50" s="16" t="s">
        <v>17</v>
      </c>
      <c r="E50" s="3" t="s">
        <v>29</v>
      </c>
      <c r="F50" s="3">
        <v>100</v>
      </c>
      <c r="G50" s="3">
        <v>0</v>
      </c>
      <c r="H50" s="3">
        <v>1</v>
      </c>
      <c r="I50" s="15" t="s">
        <v>52</v>
      </c>
      <c r="J50" s="16">
        <v>1.68</v>
      </c>
      <c r="K50" s="16">
        <v>1.68</v>
      </c>
      <c r="L50" s="16" t="s">
        <v>17</v>
      </c>
      <c r="M50" s="16" t="s">
        <v>17</v>
      </c>
      <c r="N50" s="16" t="s">
        <v>68</v>
      </c>
      <c r="O50" s="16">
        <f t="shared" si="10"/>
        <v>-0.72142474327042816</v>
      </c>
      <c r="P50" s="16">
        <f t="shared" si="6"/>
        <v>-0.71097038563326165</v>
      </c>
    </row>
    <row r="51" spans="1:16" ht="14" x14ac:dyDescent="0.15">
      <c r="A51" s="19">
        <v>45716</v>
      </c>
      <c r="B51" s="16">
        <v>20</v>
      </c>
      <c r="C51" s="16">
        <v>12</v>
      </c>
      <c r="D51" s="16" t="s">
        <v>17</v>
      </c>
      <c r="E51" s="3" t="s">
        <v>29</v>
      </c>
      <c r="F51" s="3">
        <v>100</v>
      </c>
      <c r="G51" s="3">
        <v>0</v>
      </c>
      <c r="H51" s="3">
        <v>2</v>
      </c>
      <c r="I51" s="15" t="s">
        <v>52</v>
      </c>
      <c r="J51" s="16">
        <v>1.18</v>
      </c>
      <c r="K51" s="16">
        <v>1.18</v>
      </c>
      <c r="L51" s="16" t="s">
        <v>17</v>
      </c>
      <c r="M51" s="16" t="s">
        <v>17</v>
      </c>
      <c r="N51" s="16" t="s">
        <v>68</v>
      </c>
      <c r="O51" s="16">
        <f t="shared" si="10"/>
        <v>-1.1941725476889897</v>
      </c>
      <c r="P51" s="16">
        <f t="shared" si="6"/>
        <v>-1.2206447590501808</v>
      </c>
    </row>
    <row r="52" spans="1:16" ht="14" x14ac:dyDescent="0.15">
      <c r="A52" s="19">
        <v>45716</v>
      </c>
      <c r="B52" s="16">
        <v>20</v>
      </c>
      <c r="C52" s="16">
        <v>12</v>
      </c>
      <c r="D52" s="16" t="s">
        <v>17</v>
      </c>
      <c r="E52" s="3" t="s">
        <v>29</v>
      </c>
      <c r="F52" s="3">
        <v>100</v>
      </c>
      <c r="G52" s="3">
        <v>0</v>
      </c>
      <c r="H52" s="3">
        <v>3</v>
      </c>
      <c r="I52" s="15" t="s">
        <v>52</v>
      </c>
      <c r="J52" s="16">
        <v>1.52</v>
      </c>
      <c r="K52" s="16">
        <v>1.52</v>
      </c>
      <c r="L52" s="16" t="s">
        <v>17</v>
      </c>
      <c r="M52" s="16" t="s">
        <v>17</v>
      </c>
      <c r="N52" s="16" t="s">
        <v>68</v>
      </c>
      <c r="O52" s="16">
        <f t="shared" si="10"/>
        <v>-0.85010456951694136</v>
      </c>
      <c r="P52" s="16">
        <f t="shared" si="6"/>
        <v>-0.85536029496843646</v>
      </c>
    </row>
    <row r="53" spans="1:16" ht="14" x14ac:dyDescent="0.15">
      <c r="A53" s="19">
        <v>45719</v>
      </c>
      <c r="B53" s="16">
        <v>23</v>
      </c>
      <c r="C53" s="16">
        <v>15</v>
      </c>
      <c r="D53" s="16" t="s">
        <v>17</v>
      </c>
      <c r="E53" s="3" t="s">
        <v>32</v>
      </c>
      <c r="F53" s="4">
        <v>1E-4</v>
      </c>
      <c r="G53" s="4">
        <v>1E-4</v>
      </c>
      <c r="H53" s="3">
        <v>1</v>
      </c>
      <c r="I53" s="3" t="s">
        <v>25</v>
      </c>
      <c r="J53" s="16">
        <v>9.67</v>
      </c>
      <c r="K53" s="16">
        <f t="shared" ref="K53:K55" si="11">J53*0.305</f>
        <v>2.9493499999999999</v>
      </c>
      <c r="L53" s="16">
        <v>1</v>
      </c>
      <c r="M53" s="16">
        <v>2.9493499999999999</v>
      </c>
      <c r="O53" s="16">
        <f t="shared" ref="O53:O55" si="12">LOG(J53/K44,2)</f>
        <v>1.5870825964757818</v>
      </c>
      <c r="P53" s="16">
        <f t="shared" si="6"/>
        <v>8.2767424758636299</v>
      </c>
    </row>
    <row r="54" spans="1:16" ht="14" x14ac:dyDescent="0.15">
      <c r="A54" s="19">
        <v>45719</v>
      </c>
      <c r="B54" s="16">
        <v>23</v>
      </c>
      <c r="C54" s="16">
        <v>15</v>
      </c>
      <c r="D54" s="16" t="s">
        <v>17</v>
      </c>
      <c r="E54" s="3" t="s">
        <v>32</v>
      </c>
      <c r="F54" s="4">
        <v>1E-4</v>
      </c>
      <c r="G54" s="4">
        <v>1E-4</v>
      </c>
      <c r="H54" s="3">
        <v>2</v>
      </c>
      <c r="I54" s="3" t="s">
        <v>25</v>
      </c>
      <c r="J54" s="16">
        <v>9.4499999999999993</v>
      </c>
      <c r="K54" s="16">
        <f t="shared" si="11"/>
        <v>2.8822499999999995</v>
      </c>
      <c r="L54" s="16">
        <v>1</v>
      </c>
      <c r="M54" s="16">
        <v>2.8822499999999995</v>
      </c>
      <c r="O54" s="16">
        <f t="shared" si="12"/>
        <v>1.7182083479330204</v>
      </c>
      <c r="P54" s="16">
        <f t="shared" si="6"/>
        <v>8.2435409154952257</v>
      </c>
    </row>
    <row r="55" spans="1:16" ht="14" x14ac:dyDescent="0.15">
      <c r="A55" s="19">
        <v>45719</v>
      </c>
      <c r="B55" s="16">
        <v>23</v>
      </c>
      <c r="C55" s="16">
        <v>15</v>
      </c>
      <c r="D55" s="16" t="s">
        <v>17</v>
      </c>
      <c r="E55" s="3" t="s">
        <v>32</v>
      </c>
      <c r="F55" s="4">
        <v>1E-4</v>
      </c>
      <c r="G55" s="4">
        <v>1E-4</v>
      </c>
      <c r="H55" s="3">
        <v>3</v>
      </c>
      <c r="I55" s="3" t="s">
        <v>25</v>
      </c>
      <c r="J55" s="16">
        <v>10.1</v>
      </c>
      <c r="K55" s="16">
        <f t="shared" si="11"/>
        <v>3.0804999999999998</v>
      </c>
      <c r="L55" s="16">
        <v>1</v>
      </c>
      <c r="M55" s="16">
        <v>3.0804999999999998</v>
      </c>
      <c r="O55" s="16">
        <f t="shared" si="12"/>
        <v>1.8336472706619678</v>
      </c>
      <c r="P55" s="16">
        <f t="shared" si="6"/>
        <v>8.3395099740259475</v>
      </c>
    </row>
    <row r="56" spans="1:16" ht="14" x14ac:dyDescent="0.15">
      <c r="A56" s="19">
        <v>45719</v>
      </c>
      <c r="B56" s="16">
        <v>23</v>
      </c>
      <c r="C56" s="16">
        <v>15</v>
      </c>
      <c r="D56" s="16" t="s">
        <v>17</v>
      </c>
      <c r="E56" s="3" t="s">
        <v>29</v>
      </c>
      <c r="F56" s="3">
        <v>10</v>
      </c>
      <c r="G56" s="3">
        <v>100</v>
      </c>
      <c r="H56" s="3">
        <v>1</v>
      </c>
      <c r="I56" s="15" t="s">
        <v>52</v>
      </c>
      <c r="J56" s="16" t="s">
        <v>17</v>
      </c>
      <c r="K56" s="16" t="s">
        <v>17</v>
      </c>
      <c r="L56" s="16" t="s">
        <v>17</v>
      </c>
      <c r="M56" s="16" t="s">
        <v>17</v>
      </c>
      <c r="N56" s="16" t="s">
        <v>69</v>
      </c>
      <c r="O56" s="16">
        <v>0</v>
      </c>
      <c r="P56" s="16">
        <f t="shared" si="6"/>
        <v>1.0716378740886572</v>
      </c>
    </row>
    <row r="57" spans="1:16" ht="14" x14ac:dyDescent="0.15">
      <c r="A57" s="19">
        <v>45719</v>
      </c>
      <c r="B57" s="16">
        <v>23</v>
      </c>
      <c r="C57" s="16">
        <v>15</v>
      </c>
      <c r="D57" s="16" t="s">
        <v>17</v>
      </c>
      <c r="E57" s="3" t="s">
        <v>29</v>
      </c>
      <c r="F57" s="3">
        <v>10</v>
      </c>
      <c r="G57" s="3">
        <v>100</v>
      </c>
      <c r="H57" s="3">
        <v>2</v>
      </c>
      <c r="I57" s="15" t="s">
        <v>52</v>
      </c>
      <c r="J57" s="16" t="s">
        <v>17</v>
      </c>
      <c r="K57" s="16" t="s">
        <v>17</v>
      </c>
      <c r="L57" s="16" t="s">
        <v>17</v>
      </c>
      <c r="M57" s="16" t="s">
        <v>17</v>
      </c>
      <c r="O57" s="16">
        <v>0</v>
      </c>
      <c r="P57" s="16">
        <f t="shared" si="6"/>
        <v>1.2186402864753405</v>
      </c>
    </row>
    <row r="58" spans="1:16" ht="14" x14ac:dyDescent="0.15">
      <c r="A58" s="19">
        <v>45719</v>
      </c>
      <c r="B58" s="16">
        <v>23</v>
      </c>
      <c r="C58" s="16">
        <v>15</v>
      </c>
      <c r="D58" s="16" t="s">
        <v>17</v>
      </c>
      <c r="E58" s="3" t="s">
        <v>29</v>
      </c>
      <c r="F58" s="3">
        <v>10</v>
      </c>
      <c r="G58" s="3">
        <v>100</v>
      </c>
      <c r="H58" s="3">
        <v>3</v>
      </c>
      <c r="I58" s="15" t="s">
        <v>52</v>
      </c>
      <c r="J58" s="16" t="s">
        <v>17</v>
      </c>
      <c r="K58" s="16" t="s">
        <v>17</v>
      </c>
      <c r="L58" s="16" t="s">
        <v>17</v>
      </c>
      <c r="M58" s="16" t="s">
        <v>17</v>
      </c>
      <c r="O58" s="16">
        <v>0</v>
      </c>
      <c r="P58" s="16">
        <f t="shared" si="6"/>
        <v>0.88539687836014402</v>
      </c>
    </row>
    <row r="59" spans="1:16" ht="14" x14ac:dyDescent="0.15">
      <c r="A59" s="19">
        <v>45719</v>
      </c>
      <c r="B59" s="16">
        <v>23</v>
      </c>
      <c r="C59" s="16">
        <v>15</v>
      </c>
      <c r="D59" s="16" t="s">
        <v>17</v>
      </c>
      <c r="E59" s="3" t="s">
        <v>29</v>
      </c>
      <c r="F59" s="3">
        <v>100</v>
      </c>
      <c r="G59" s="3">
        <v>0</v>
      </c>
      <c r="H59" s="3">
        <v>1</v>
      </c>
      <c r="I59" s="15" t="s">
        <v>52</v>
      </c>
      <c r="J59" s="16" t="s">
        <v>17</v>
      </c>
      <c r="K59" s="16" t="s">
        <v>17</v>
      </c>
      <c r="L59" s="16" t="s">
        <v>17</v>
      </c>
      <c r="M59" s="16" t="s">
        <v>17</v>
      </c>
      <c r="O59" s="16">
        <v>0</v>
      </c>
      <c r="P59" s="16">
        <f t="shared" si="6"/>
        <v>-0.71097038563326165</v>
      </c>
    </row>
    <row r="60" spans="1:16" ht="14" x14ac:dyDescent="0.15">
      <c r="A60" s="19">
        <v>45719</v>
      </c>
      <c r="B60" s="16">
        <v>23</v>
      </c>
      <c r="C60" s="16">
        <v>15</v>
      </c>
      <c r="D60" s="16" t="s">
        <v>17</v>
      </c>
      <c r="E60" s="3" t="s">
        <v>29</v>
      </c>
      <c r="F60" s="3">
        <v>100</v>
      </c>
      <c r="G60" s="3">
        <v>0</v>
      </c>
      <c r="H60" s="3">
        <v>2</v>
      </c>
      <c r="I60" s="15" t="s">
        <v>52</v>
      </c>
      <c r="J60" s="16" t="s">
        <v>17</v>
      </c>
      <c r="K60" s="16" t="s">
        <v>17</v>
      </c>
      <c r="L60" s="16" t="s">
        <v>17</v>
      </c>
      <c r="M60" s="16" t="s">
        <v>17</v>
      </c>
      <c r="O60" s="16">
        <v>0</v>
      </c>
      <c r="P60" s="16">
        <f t="shared" si="6"/>
        <v>-1.2206447590501808</v>
      </c>
    </row>
    <row r="61" spans="1:16" ht="14" x14ac:dyDescent="0.15">
      <c r="A61" s="19">
        <v>45719</v>
      </c>
      <c r="B61" s="16">
        <v>23</v>
      </c>
      <c r="C61" s="16">
        <v>15</v>
      </c>
      <c r="D61" s="16" t="s">
        <v>17</v>
      </c>
      <c r="E61" s="3" t="s">
        <v>29</v>
      </c>
      <c r="F61" s="3">
        <v>100</v>
      </c>
      <c r="G61" s="3">
        <v>0</v>
      </c>
      <c r="H61" s="3">
        <v>3</v>
      </c>
      <c r="I61" s="15" t="s">
        <v>52</v>
      </c>
      <c r="J61" s="16" t="s">
        <v>17</v>
      </c>
      <c r="K61" s="16" t="s">
        <v>17</v>
      </c>
      <c r="L61" s="16" t="s">
        <v>17</v>
      </c>
      <c r="M61" s="16" t="s">
        <v>17</v>
      </c>
      <c r="O61" s="16">
        <v>0</v>
      </c>
      <c r="P61" s="16">
        <f t="shared" si="6"/>
        <v>-0.85536029496843646</v>
      </c>
    </row>
    <row r="62" spans="1:16" ht="14" x14ac:dyDescent="0.15">
      <c r="A62" s="19">
        <v>45722</v>
      </c>
      <c r="B62" s="16">
        <v>26</v>
      </c>
      <c r="C62" s="16">
        <v>18</v>
      </c>
      <c r="D62" s="16" t="s">
        <v>17</v>
      </c>
      <c r="E62" s="3" t="s">
        <v>32</v>
      </c>
      <c r="F62" s="4">
        <v>1E-4</v>
      </c>
      <c r="G62" s="4">
        <v>1E-4</v>
      </c>
      <c r="H62" s="3">
        <v>1</v>
      </c>
      <c r="I62" s="3" t="s">
        <v>25</v>
      </c>
      <c r="J62" s="16">
        <v>7.62</v>
      </c>
      <c r="K62" s="16">
        <f t="shared" ref="K62:K64" si="13">0.36*J62</f>
        <v>2.7431999999999999</v>
      </c>
      <c r="L62" s="16">
        <v>1</v>
      </c>
      <c r="M62" s="16">
        <v>2.7431999999999999</v>
      </c>
      <c r="O62" s="16">
        <f t="shared" ref="O62:O64" si="14">LOG(J62/K53,2)</f>
        <v>1.3693939602283194</v>
      </c>
      <c r="P62" s="16">
        <f t="shared" si="6"/>
        <v>9.6461364360919486</v>
      </c>
    </row>
    <row r="63" spans="1:16" ht="14" x14ac:dyDescent="0.15">
      <c r="A63" s="19">
        <v>45722</v>
      </c>
      <c r="B63" s="16">
        <v>26</v>
      </c>
      <c r="C63" s="16">
        <v>18</v>
      </c>
      <c r="D63" s="16" t="s">
        <v>17</v>
      </c>
      <c r="E63" s="3" t="s">
        <v>32</v>
      </c>
      <c r="F63" s="4">
        <v>1E-4</v>
      </c>
      <c r="G63" s="4">
        <v>1E-4</v>
      </c>
      <c r="H63" s="3">
        <v>2</v>
      </c>
      <c r="I63" s="3" t="s">
        <v>25</v>
      </c>
      <c r="J63" s="16">
        <v>7.69</v>
      </c>
      <c r="K63" s="16">
        <f t="shared" si="13"/>
        <v>2.7684000000000002</v>
      </c>
      <c r="L63" s="16">
        <v>1</v>
      </c>
      <c r="M63" s="16">
        <v>2.7684000000000002</v>
      </c>
      <c r="O63" s="16">
        <f t="shared" si="14"/>
        <v>1.4157881210652301</v>
      </c>
      <c r="P63" s="16">
        <f t="shared" si="6"/>
        <v>9.6593290365604556</v>
      </c>
    </row>
    <row r="64" spans="1:16" ht="14" x14ac:dyDescent="0.15">
      <c r="A64" s="19">
        <v>45722</v>
      </c>
      <c r="B64" s="16">
        <v>26</v>
      </c>
      <c r="C64" s="16">
        <v>18</v>
      </c>
      <c r="D64" s="16" t="s">
        <v>17</v>
      </c>
      <c r="E64" s="3" t="s">
        <v>32</v>
      </c>
      <c r="F64" s="4">
        <v>1E-4</v>
      </c>
      <c r="G64" s="4">
        <v>1E-4</v>
      </c>
      <c r="H64" s="3">
        <v>3</v>
      </c>
      <c r="I64" s="3" t="s">
        <v>25</v>
      </c>
      <c r="J64" s="16">
        <v>8.27</v>
      </c>
      <c r="K64" s="16">
        <f t="shared" si="13"/>
        <v>2.9771999999999998</v>
      </c>
      <c r="L64" s="16">
        <v>1</v>
      </c>
      <c r="M64" s="16">
        <v>2.9771999999999998</v>
      </c>
      <c r="O64" s="16">
        <f t="shared" si="14"/>
        <v>1.4247227937439562</v>
      </c>
      <c r="P64" s="16">
        <f t="shared" si="6"/>
        <v>9.7642327677699043</v>
      </c>
    </row>
    <row r="65" spans="1:16" ht="14" x14ac:dyDescent="0.15">
      <c r="A65" s="19">
        <v>45722</v>
      </c>
      <c r="B65" s="16">
        <v>26</v>
      </c>
      <c r="C65" s="16">
        <v>18</v>
      </c>
      <c r="D65" s="16" t="s">
        <v>17</v>
      </c>
      <c r="E65" s="3" t="s">
        <v>29</v>
      </c>
      <c r="F65" s="3">
        <v>10</v>
      </c>
      <c r="G65" s="3">
        <v>10</v>
      </c>
      <c r="H65" s="3">
        <v>1</v>
      </c>
      <c r="I65" s="15" t="s">
        <v>52</v>
      </c>
      <c r="J65" s="16">
        <v>3.41</v>
      </c>
      <c r="K65" s="16">
        <v>3.41</v>
      </c>
      <c r="L65" s="16" t="s">
        <v>17</v>
      </c>
      <c r="M65" s="16" t="s">
        <v>17</v>
      </c>
      <c r="O65" s="16">
        <f t="shared" ref="O65:O70" si="15">LOG(J65/K47,2)</f>
        <v>0.23870224652349376</v>
      </c>
      <c r="P65" s="16">
        <f t="shared" si="6"/>
        <v>1.310340120612151</v>
      </c>
    </row>
    <row r="66" spans="1:16" ht="14" x14ac:dyDescent="0.15">
      <c r="A66" s="19">
        <v>45722</v>
      </c>
      <c r="B66" s="16">
        <v>26</v>
      </c>
      <c r="C66" s="16">
        <v>18</v>
      </c>
      <c r="D66" s="16" t="s">
        <v>17</v>
      </c>
      <c r="E66" s="3" t="s">
        <v>29</v>
      </c>
      <c r="F66" s="3">
        <v>10</v>
      </c>
      <c r="G66" s="3">
        <v>10</v>
      </c>
      <c r="H66" s="3">
        <v>2</v>
      </c>
      <c r="I66" s="15" t="s">
        <v>52</v>
      </c>
      <c r="J66" s="16">
        <v>3.43</v>
      </c>
      <c r="K66" s="16">
        <v>3.43</v>
      </c>
      <c r="L66" s="16" t="s">
        <v>17</v>
      </c>
      <c r="M66" s="16" t="s">
        <v>17</v>
      </c>
      <c r="O66" s="16">
        <f t="shared" si="15"/>
        <v>0.10013667128544985</v>
      </c>
      <c r="P66" s="16">
        <f t="shared" si="6"/>
        <v>1.3187769577607904</v>
      </c>
    </row>
    <row r="67" spans="1:16" ht="14" x14ac:dyDescent="0.15">
      <c r="A67" s="19">
        <v>45722</v>
      </c>
      <c r="B67" s="16">
        <v>26</v>
      </c>
      <c r="C67" s="16">
        <v>18</v>
      </c>
      <c r="D67" s="16" t="s">
        <v>17</v>
      </c>
      <c r="E67" s="3" t="s">
        <v>29</v>
      </c>
      <c r="F67" s="3">
        <v>10</v>
      </c>
      <c r="G67" s="3">
        <v>10</v>
      </c>
      <c r="H67" s="3">
        <v>3</v>
      </c>
      <c r="I67" s="15" t="s">
        <v>52</v>
      </c>
      <c r="J67" s="16">
        <v>3.52</v>
      </c>
      <c r="K67" s="16">
        <v>3.52</v>
      </c>
      <c r="L67" s="16" t="s">
        <v>17</v>
      </c>
      <c r="M67" s="16" t="s">
        <v>17</v>
      </c>
      <c r="O67" s="16">
        <f t="shared" si="15"/>
        <v>0.47074693186513139</v>
      </c>
      <c r="P67" s="16">
        <f t="shared" si="6"/>
        <v>1.3561438102252754</v>
      </c>
    </row>
    <row r="68" spans="1:16" ht="14" x14ac:dyDescent="0.15">
      <c r="A68" s="19">
        <v>45722</v>
      </c>
      <c r="B68" s="16">
        <v>26</v>
      </c>
      <c r="C68" s="16">
        <v>18</v>
      </c>
      <c r="D68" s="16" t="s">
        <v>17</v>
      </c>
      <c r="E68" s="3" t="s">
        <v>29</v>
      </c>
      <c r="F68" s="3">
        <v>100</v>
      </c>
      <c r="G68" s="3">
        <v>0</v>
      </c>
      <c r="H68" s="3">
        <v>1</v>
      </c>
      <c r="I68" s="15" t="s">
        <v>52</v>
      </c>
      <c r="J68" s="16">
        <v>1.42</v>
      </c>
      <c r="K68" s="16">
        <v>1.42</v>
      </c>
      <c r="L68" s="16" t="s">
        <v>17</v>
      </c>
      <c r="M68" s="16" t="s">
        <v>17</v>
      </c>
      <c r="O68" s="16">
        <f t="shared" si="15"/>
        <v>-0.24257030327407827</v>
      </c>
      <c r="P68" s="16">
        <f t="shared" si="6"/>
        <v>-0.9535406889073399</v>
      </c>
    </row>
    <row r="69" spans="1:16" ht="14" x14ac:dyDescent="0.15">
      <c r="A69" s="19">
        <v>45722</v>
      </c>
      <c r="B69" s="16">
        <v>26</v>
      </c>
      <c r="C69" s="16">
        <v>18</v>
      </c>
      <c r="D69" s="16" t="s">
        <v>17</v>
      </c>
      <c r="E69" s="3" t="s">
        <v>29</v>
      </c>
      <c r="F69" s="3">
        <v>100</v>
      </c>
      <c r="G69" s="3">
        <v>0</v>
      </c>
      <c r="H69" s="3">
        <v>2</v>
      </c>
      <c r="I69" s="15" t="s">
        <v>52</v>
      </c>
      <c r="J69" s="16">
        <v>0.96299999999999997</v>
      </c>
      <c r="K69" s="16">
        <v>0.96299999999999997</v>
      </c>
      <c r="L69" s="16" t="s">
        <v>17</v>
      </c>
      <c r="M69" s="16" t="s">
        <v>17</v>
      </c>
      <c r="O69" s="16">
        <f t="shared" si="15"/>
        <v>-0.29317915640574416</v>
      </c>
      <c r="P69" s="16">
        <f t="shared" si="6"/>
        <v>-1.513823915455925</v>
      </c>
    </row>
    <row r="70" spans="1:16" ht="14" x14ac:dyDescent="0.15">
      <c r="A70" s="19">
        <v>45722</v>
      </c>
      <c r="B70" s="16">
        <v>26</v>
      </c>
      <c r="C70" s="16">
        <v>18</v>
      </c>
      <c r="D70" s="16" t="s">
        <v>17</v>
      </c>
      <c r="E70" s="3" t="s">
        <v>29</v>
      </c>
      <c r="F70" s="3">
        <v>100</v>
      </c>
      <c r="G70" s="3">
        <v>0</v>
      </c>
      <c r="H70" s="3">
        <v>3</v>
      </c>
      <c r="I70" s="15" t="s">
        <v>52</v>
      </c>
      <c r="J70" s="16">
        <v>0.97799999999999998</v>
      </c>
      <c r="K70" s="16">
        <v>0.97799999999999998</v>
      </c>
      <c r="L70" s="16" t="s">
        <v>17</v>
      </c>
      <c r="M70" s="16" t="s">
        <v>17</v>
      </c>
      <c r="O70" s="16">
        <f t="shared" si="15"/>
        <v>-0.63616495337871426</v>
      </c>
      <c r="P70" s="16">
        <f t="shared" si="6"/>
        <v>-1.4915252483471506</v>
      </c>
    </row>
    <row r="71" spans="1:16" ht="14" x14ac:dyDescent="0.15">
      <c r="A71" s="19">
        <v>45725</v>
      </c>
      <c r="B71" s="16">
        <v>29</v>
      </c>
      <c r="C71" s="16">
        <v>21</v>
      </c>
      <c r="D71" s="16" t="s">
        <v>17</v>
      </c>
      <c r="E71" s="3" t="s">
        <v>32</v>
      </c>
      <c r="F71" s="4">
        <v>1E-4</v>
      </c>
      <c r="G71" s="4">
        <v>1E-4</v>
      </c>
      <c r="H71" s="3">
        <v>1</v>
      </c>
      <c r="I71" s="3" t="s">
        <v>25</v>
      </c>
      <c r="J71" s="16">
        <v>8.85</v>
      </c>
      <c r="K71" s="16">
        <f t="shared" ref="K71:K73" si="16">J71*0.317</f>
        <v>2.80545</v>
      </c>
      <c r="L71" s="16">
        <v>1</v>
      </c>
      <c r="M71" s="16">
        <v>2.80545</v>
      </c>
      <c r="O71" s="16">
        <f t="shared" ref="O71:O73" si="17">LOG(J71/K62,2)</f>
        <v>1.68981764580945</v>
      </c>
      <c r="P71" s="16">
        <f t="shared" si="6"/>
        <v>11.335954081901399</v>
      </c>
    </row>
    <row r="72" spans="1:16" ht="14" x14ac:dyDescent="0.15">
      <c r="A72" s="19">
        <v>45725</v>
      </c>
      <c r="B72" s="16">
        <v>29</v>
      </c>
      <c r="C72" s="16">
        <v>21</v>
      </c>
      <c r="D72" s="16" t="s">
        <v>17</v>
      </c>
      <c r="E72" s="3" t="s">
        <v>32</v>
      </c>
      <c r="F72" s="4">
        <v>1E-4</v>
      </c>
      <c r="G72" s="4">
        <v>1E-4</v>
      </c>
      <c r="H72" s="3">
        <v>2</v>
      </c>
      <c r="I72" s="3" t="s">
        <v>25</v>
      </c>
      <c r="J72" s="16">
        <v>9.7799999999999994</v>
      </c>
      <c r="K72" s="16">
        <f t="shared" si="16"/>
        <v>3.10026</v>
      </c>
      <c r="L72" s="16">
        <v>1</v>
      </c>
      <c r="M72" s="16">
        <v>3.10026</v>
      </c>
      <c r="O72" s="16">
        <f t="shared" si="17"/>
        <v>1.8207820553228193</v>
      </c>
      <c r="P72" s="16">
        <f t="shared" si="6"/>
        <v>11.480111091883275</v>
      </c>
    </row>
    <row r="73" spans="1:16" ht="14" x14ac:dyDescent="0.15">
      <c r="A73" s="19">
        <v>45725</v>
      </c>
      <c r="B73" s="16">
        <v>29</v>
      </c>
      <c r="C73" s="16">
        <v>21</v>
      </c>
      <c r="D73" s="16" t="s">
        <v>17</v>
      </c>
      <c r="E73" s="3" t="s">
        <v>32</v>
      </c>
      <c r="F73" s="4">
        <v>1E-4</v>
      </c>
      <c r="G73" s="4">
        <v>1E-4</v>
      </c>
      <c r="H73" s="3">
        <v>3</v>
      </c>
      <c r="I73" s="3" t="s">
        <v>25</v>
      </c>
      <c r="J73" s="16">
        <v>8.83</v>
      </c>
      <c r="K73" s="16">
        <f t="shared" si="16"/>
        <v>2.7991100000000002</v>
      </c>
      <c r="L73" s="16">
        <v>1</v>
      </c>
      <c r="M73" s="16">
        <v>2.7991100000000002</v>
      </c>
      <c r="O73" s="16">
        <f t="shared" si="17"/>
        <v>1.568457296809604</v>
      </c>
      <c r="P73" s="16">
        <f t="shared" si="6"/>
        <v>11.332690064579509</v>
      </c>
    </row>
    <row r="74" spans="1:16" ht="14" x14ac:dyDescent="0.15">
      <c r="A74" s="19">
        <v>45725</v>
      </c>
      <c r="B74" s="16">
        <v>29</v>
      </c>
      <c r="C74" s="16">
        <v>21</v>
      </c>
      <c r="D74" s="16" t="s">
        <v>17</v>
      </c>
      <c r="E74" s="3" t="s">
        <v>29</v>
      </c>
      <c r="F74" s="3">
        <v>10</v>
      </c>
      <c r="G74" s="3">
        <v>10</v>
      </c>
      <c r="H74" s="3">
        <v>1</v>
      </c>
      <c r="I74" s="15" t="s">
        <v>52</v>
      </c>
      <c r="J74" s="16" t="s">
        <v>17</v>
      </c>
      <c r="K74" s="16" t="s">
        <v>17</v>
      </c>
      <c r="L74" s="16" t="s">
        <v>17</v>
      </c>
      <c r="M74" s="16" t="s">
        <v>17</v>
      </c>
      <c r="N74" s="16" t="s">
        <v>69</v>
      </c>
      <c r="O74" s="16">
        <v>0</v>
      </c>
      <c r="P74" s="16">
        <f t="shared" si="6"/>
        <v>1.310340120612151</v>
      </c>
    </row>
    <row r="75" spans="1:16" ht="14" x14ac:dyDescent="0.15">
      <c r="A75" s="19">
        <v>45725</v>
      </c>
      <c r="B75" s="16">
        <v>29</v>
      </c>
      <c r="C75" s="16">
        <v>21</v>
      </c>
      <c r="D75" s="16" t="s">
        <v>17</v>
      </c>
      <c r="E75" s="3" t="s">
        <v>29</v>
      </c>
      <c r="F75" s="3">
        <v>10</v>
      </c>
      <c r="G75" s="3">
        <v>10</v>
      </c>
      <c r="H75" s="3">
        <v>2</v>
      </c>
      <c r="I75" s="15" t="s">
        <v>52</v>
      </c>
      <c r="J75" s="16" t="s">
        <v>17</v>
      </c>
      <c r="K75" s="16" t="s">
        <v>17</v>
      </c>
      <c r="L75" s="16" t="s">
        <v>17</v>
      </c>
      <c r="M75" s="16" t="s">
        <v>17</v>
      </c>
      <c r="O75" s="16">
        <v>0</v>
      </c>
      <c r="P75" s="16">
        <f t="shared" si="6"/>
        <v>1.3187769577607904</v>
      </c>
    </row>
    <row r="76" spans="1:16" ht="14" x14ac:dyDescent="0.15">
      <c r="A76" s="19">
        <v>45725</v>
      </c>
      <c r="B76" s="16">
        <v>29</v>
      </c>
      <c r="C76" s="16">
        <v>21</v>
      </c>
      <c r="D76" s="16" t="s">
        <v>17</v>
      </c>
      <c r="E76" s="3" t="s">
        <v>29</v>
      </c>
      <c r="F76" s="3">
        <v>10</v>
      </c>
      <c r="G76" s="3">
        <v>10</v>
      </c>
      <c r="H76" s="3">
        <v>3</v>
      </c>
      <c r="I76" s="15" t="s">
        <v>52</v>
      </c>
      <c r="J76" s="16" t="s">
        <v>17</v>
      </c>
      <c r="K76" s="16" t="s">
        <v>17</v>
      </c>
      <c r="L76" s="16" t="s">
        <v>17</v>
      </c>
      <c r="M76" s="16" t="s">
        <v>17</v>
      </c>
      <c r="O76" s="16">
        <v>0</v>
      </c>
      <c r="P76" s="16">
        <f t="shared" si="6"/>
        <v>1.3561438102252754</v>
      </c>
    </row>
    <row r="77" spans="1:16" ht="14" x14ac:dyDescent="0.15">
      <c r="A77" s="19">
        <v>45725</v>
      </c>
      <c r="B77" s="16">
        <v>29</v>
      </c>
      <c r="C77" s="16">
        <v>21</v>
      </c>
      <c r="D77" s="16" t="s">
        <v>17</v>
      </c>
      <c r="E77" s="3" t="s">
        <v>29</v>
      </c>
      <c r="F77" s="3">
        <v>100</v>
      </c>
      <c r="G77" s="3">
        <v>0</v>
      </c>
      <c r="H77" s="3">
        <v>1</v>
      </c>
      <c r="I77" s="15" t="s">
        <v>52</v>
      </c>
      <c r="J77" s="16" t="s">
        <v>17</v>
      </c>
      <c r="K77" s="16" t="s">
        <v>17</v>
      </c>
      <c r="L77" s="16" t="s">
        <v>17</v>
      </c>
      <c r="M77" s="16" t="s">
        <v>17</v>
      </c>
      <c r="O77" s="16">
        <v>0</v>
      </c>
      <c r="P77" s="16">
        <f t="shared" si="6"/>
        <v>-0.9535406889073399</v>
      </c>
    </row>
    <row r="78" spans="1:16" ht="14" x14ac:dyDescent="0.15">
      <c r="A78" s="19">
        <v>45725</v>
      </c>
      <c r="B78" s="16">
        <v>29</v>
      </c>
      <c r="C78" s="16">
        <v>21</v>
      </c>
      <c r="D78" s="16" t="s">
        <v>17</v>
      </c>
      <c r="E78" s="3" t="s">
        <v>29</v>
      </c>
      <c r="F78" s="3">
        <v>100</v>
      </c>
      <c r="G78" s="3">
        <v>0</v>
      </c>
      <c r="H78" s="3">
        <v>2</v>
      </c>
      <c r="I78" s="15" t="s">
        <v>52</v>
      </c>
      <c r="J78" s="16" t="s">
        <v>17</v>
      </c>
      <c r="K78" s="16" t="s">
        <v>17</v>
      </c>
      <c r="L78" s="16" t="s">
        <v>17</v>
      </c>
      <c r="M78" s="16" t="s">
        <v>17</v>
      </c>
      <c r="O78" s="16">
        <v>0</v>
      </c>
      <c r="P78" s="16">
        <f t="shared" si="6"/>
        <v>-1.513823915455925</v>
      </c>
    </row>
    <row r="79" spans="1:16" ht="14" x14ac:dyDescent="0.15">
      <c r="A79" s="19">
        <v>45725</v>
      </c>
      <c r="B79" s="16">
        <v>29</v>
      </c>
      <c r="C79" s="16">
        <v>21</v>
      </c>
      <c r="D79" s="16" t="s">
        <v>17</v>
      </c>
      <c r="E79" s="3" t="s">
        <v>29</v>
      </c>
      <c r="F79" s="3">
        <v>100</v>
      </c>
      <c r="G79" s="3">
        <v>0</v>
      </c>
      <c r="H79" s="3">
        <v>3</v>
      </c>
      <c r="I79" s="15" t="s">
        <v>52</v>
      </c>
      <c r="J79" s="16" t="s">
        <v>17</v>
      </c>
      <c r="K79" s="16" t="s">
        <v>17</v>
      </c>
      <c r="L79" s="16" t="s">
        <v>17</v>
      </c>
      <c r="M79" s="16" t="s">
        <v>17</v>
      </c>
      <c r="O79" s="16">
        <v>0</v>
      </c>
      <c r="P79" s="16">
        <f t="shared" si="6"/>
        <v>-1.4915252483471506</v>
      </c>
    </row>
    <row r="80" spans="1:16" ht="14" x14ac:dyDescent="0.15">
      <c r="A80" s="19">
        <v>45728</v>
      </c>
      <c r="B80" s="16">
        <v>32</v>
      </c>
      <c r="C80" s="16">
        <v>24</v>
      </c>
      <c r="D80" s="16" t="s">
        <v>17</v>
      </c>
      <c r="E80" s="3" t="s">
        <v>32</v>
      </c>
      <c r="F80" s="4">
        <v>1E-4</v>
      </c>
      <c r="G80" s="4">
        <v>1E-4</v>
      </c>
      <c r="H80" s="3">
        <v>1</v>
      </c>
      <c r="I80" s="3" t="s">
        <v>25</v>
      </c>
      <c r="J80" s="16">
        <v>9.66</v>
      </c>
      <c r="K80" s="16" t="s">
        <v>17</v>
      </c>
      <c r="L80" s="16">
        <v>3</v>
      </c>
      <c r="M80" s="16">
        <f t="shared" ref="M80:M82" si="18">J80/3</f>
        <v>3.22</v>
      </c>
      <c r="O80" s="16">
        <f t="shared" ref="O80:O82" si="19">LOG(J80/K71,2)</f>
        <v>1.7837909883880934</v>
      </c>
      <c r="P80" s="16">
        <f t="shared" si="6"/>
        <v>13.119745070289492</v>
      </c>
    </row>
    <row r="81" spans="1:16" ht="14" x14ac:dyDescent="0.15">
      <c r="A81" s="19">
        <v>45728</v>
      </c>
      <c r="B81" s="16">
        <v>32</v>
      </c>
      <c r="C81" s="16">
        <v>24</v>
      </c>
      <c r="D81" s="16" t="s">
        <v>17</v>
      </c>
      <c r="E81" s="3" t="s">
        <v>32</v>
      </c>
      <c r="F81" s="4">
        <v>1E-4</v>
      </c>
      <c r="G81" s="4">
        <v>1E-4</v>
      </c>
      <c r="H81" s="3">
        <v>2</v>
      </c>
      <c r="I81" s="3" t="s">
        <v>25</v>
      </c>
      <c r="J81" s="16">
        <v>8.82</v>
      </c>
      <c r="K81" s="16" t="s">
        <v>17</v>
      </c>
      <c r="L81" s="16">
        <v>3</v>
      </c>
      <c r="M81" s="16">
        <f t="shared" si="18"/>
        <v>2.94</v>
      </c>
      <c r="O81" s="16">
        <f t="shared" si="19"/>
        <v>1.5083894451279667</v>
      </c>
      <c r="P81" s="16">
        <f t="shared" si="6"/>
        <v>12.988500537011241</v>
      </c>
    </row>
    <row r="82" spans="1:16" ht="14" x14ac:dyDescent="0.15">
      <c r="A82" s="19">
        <v>45728</v>
      </c>
      <c r="B82" s="16">
        <v>32</v>
      </c>
      <c r="C82" s="16">
        <v>24</v>
      </c>
      <c r="D82" s="16" t="s">
        <v>17</v>
      </c>
      <c r="E82" s="3" t="s">
        <v>32</v>
      </c>
      <c r="F82" s="4">
        <v>1E-4</v>
      </c>
      <c r="G82" s="4">
        <v>1E-4</v>
      </c>
      <c r="H82" s="3">
        <v>3</v>
      </c>
      <c r="I82" s="3" t="s">
        <v>25</v>
      </c>
      <c r="J82" s="16">
        <v>8.82</v>
      </c>
      <c r="K82" s="16" t="s">
        <v>17</v>
      </c>
      <c r="L82" s="16">
        <v>3</v>
      </c>
      <c r="M82" s="16">
        <f t="shared" si="18"/>
        <v>2.94</v>
      </c>
      <c r="O82" s="16">
        <f t="shared" si="19"/>
        <v>1.6558104724317344</v>
      </c>
      <c r="P82" s="16">
        <f t="shared" si="6"/>
        <v>12.988500537011245</v>
      </c>
    </row>
    <row r="83" spans="1:16" ht="14" x14ac:dyDescent="0.15">
      <c r="A83" s="19">
        <v>45728</v>
      </c>
      <c r="B83" s="16">
        <v>32</v>
      </c>
      <c r="C83" s="16">
        <v>24</v>
      </c>
      <c r="D83" s="16" t="s">
        <v>17</v>
      </c>
      <c r="E83" s="3" t="s">
        <v>29</v>
      </c>
      <c r="F83" s="3">
        <v>10</v>
      </c>
      <c r="G83" s="3">
        <v>10</v>
      </c>
      <c r="H83" s="3">
        <v>1</v>
      </c>
      <c r="I83" s="15" t="s">
        <v>52</v>
      </c>
      <c r="J83" s="16">
        <v>8.2100000000000009</v>
      </c>
      <c r="K83" s="16" t="s">
        <v>17</v>
      </c>
      <c r="L83" s="16">
        <v>2</v>
      </c>
      <c r="M83" s="16">
        <f t="shared" ref="M83:M85" si="20">J83/2</f>
        <v>4.1050000000000004</v>
      </c>
      <c r="O83" s="16">
        <f t="shared" ref="O83:O88" si="21">LOG(J83/K65,2)</f>
        <v>1.2676104827536323</v>
      </c>
      <c r="P83" s="16">
        <f t="shared" si="6"/>
        <v>2.5779506033657835</v>
      </c>
    </row>
    <row r="84" spans="1:16" ht="14" x14ac:dyDescent="0.15">
      <c r="A84" s="19">
        <v>45728</v>
      </c>
      <c r="B84" s="16">
        <v>32</v>
      </c>
      <c r="C84" s="16">
        <v>24</v>
      </c>
      <c r="D84" s="16" t="s">
        <v>17</v>
      </c>
      <c r="E84" s="3" t="s">
        <v>29</v>
      </c>
      <c r="F84" s="3">
        <v>10</v>
      </c>
      <c r="G84" s="3">
        <v>10</v>
      </c>
      <c r="H84" s="3">
        <v>2</v>
      </c>
      <c r="I84" s="15" t="s">
        <v>52</v>
      </c>
      <c r="J84" s="16">
        <v>6.36</v>
      </c>
      <c r="K84" s="16" t="s">
        <v>17</v>
      </c>
      <c r="L84" s="16">
        <v>2</v>
      </c>
      <c r="M84" s="16">
        <f t="shared" si="20"/>
        <v>3.18</v>
      </c>
      <c r="O84" s="16">
        <f t="shared" si="21"/>
        <v>0.89081818911154298</v>
      </c>
      <c r="P84" s="16">
        <f t="shared" si="6"/>
        <v>2.2095951468723332</v>
      </c>
    </row>
    <row r="85" spans="1:16" ht="14" x14ac:dyDescent="0.15">
      <c r="A85" s="19">
        <v>45728</v>
      </c>
      <c r="B85" s="16">
        <v>32</v>
      </c>
      <c r="C85" s="16">
        <v>24</v>
      </c>
      <c r="D85" s="16" t="s">
        <v>17</v>
      </c>
      <c r="E85" s="3" t="s">
        <v>29</v>
      </c>
      <c r="F85" s="3">
        <v>10</v>
      </c>
      <c r="G85" s="3">
        <v>10</v>
      </c>
      <c r="H85" s="3">
        <v>3</v>
      </c>
      <c r="I85" s="15" t="s">
        <v>52</v>
      </c>
      <c r="J85" s="16">
        <v>6.86</v>
      </c>
      <c r="K85" s="16" t="s">
        <v>17</v>
      </c>
      <c r="L85" s="16">
        <v>2</v>
      </c>
      <c r="M85" s="16">
        <f t="shared" si="20"/>
        <v>3.43</v>
      </c>
      <c r="O85" s="16">
        <f t="shared" si="21"/>
        <v>0.96263314753551521</v>
      </c>
      <c r="P85" s="16">
        <f t="shared" si="6"/>
        <v>2.3187769577607904</v>
      </c>
    </row>
    <row r="86" spans="1:16" ht="14" x14ac:dyDescent="0.15">
      <c r="A86" s="19">
        <v>45728</v>
      </c>
      <c r="B86" s="16">
        <v>32</v>
      </c>
      <c r="C86" s="16">
        <v>24</v>
      </c>
      <c r="D86" s="16" t="s">
        <v>17</v>
      </c>
      <c r="E86" s="3" t="s">
        <v>29</v>
      </c>
      <c r="F86" s="3">
        <v>100</v>
      </c>
      <c r="G86" s="3">
        <v>0</v>
      </c>
      <c r="H86" s="3">
        <v>1</v>
      </c>
      <c r="I86" s="15" t="s">
        <v>52</v>
      </c>
      <c r="J86" s="16">
        <v>13.2</v>
      </c>
      <c r="K86" s="16" t="s">
        <v>17</v>
      </c>
      <c r="L86" s="16">
        <v>4</v>
      </c>
      <c r="M86" s="16">
        <f>J86/4</f>
        <v>3.3</v>
      </c>
      <c r="O86" s="16">
        <f t="shared" si="21"/>
        <v>3.2165750947411338</v>
      </c>
      <c r="P86" s="16">
        <f t="shared" si="6"/>
        <v>2.2630344058337939</v>
      </c>
    </row>
    <row r="87" spans="1:16" ht="14" x14ac:dyDescent="0.15">
      <c r="A87" s="19">
        <v>45728</v>
      </c>
      <c r="B87" s="16">
        <v>32</v>
      </c>
      <c r="C87" s="16">
        <v>24</v>
      </c>
      <c r="D87" s="16" t="s">
        <v>17</v>
      </c>
      <c r="E87" s="3" t="s">
        <v>29</v>
      </c>
      <c r="F87" s="3">
        <v>100</v>
      </c>
      <c r="G87" s="3">
        <v>0</v>
      </c>
      <c r="H87" s="3">
        <v>2</v>
      </c>
      <c r="I87" s="15" t="s">
        <v>52</v>
      </c>
      <c r="J87" s="16">
        <v>8.44</v>
      </c>
      <c r="K87" s="16" t="s">
        <v>17</v>
      </c>
      <c r="L87" s="16">
        <v>3</v>
      </c>
      <c r="M87" s="16">
        <f>J87/3</f>
        <v>2.813333333333333</v>
      </c>
      <c r="O87" s="16">
        <f t="shared" si="21"/>
        <v>3.1316352957510882</v>
      </c>
      <c r="P87" s="16">
        <f t="shared" si="6"/>
        <v>1.6178113802951632</v>
      </c>
    </row>
    <row r="88" spans="1:16" ht="14" x14ac:dyDescent="0.15">
      <c r="A88" s="19">
        <v>45728</v>
      </c>
      <c r="B88" s="16">
        <v>32</v>
      </c>
      <c r="C88" s="16">
        <v>24</v>
      </c>
      <c r="D88" s="16" t="s">
        <v>17</v>
      </c>
      <c r="E88" s="3" t="s">
        <v>29</v>
      </c>
      <c r="F88" s="3">
        <v>100</v>
      </c>
      <c r="G88" s="3">
        <v>0</v>
      </c>
      <c r="H88" s="3">
        <v>3</v>
      </c>
      <c r="I88" s="15" t="s">
        <v>52</v>
      </c>
      <c r="J88" s="16">
        <v>4.8899999999999997</v>
      </c>
      <c r="K88" s="16" t="s">
        <v>17</v>
      </c>
      <c r="L88" s="16">
        <v>2</v>
      </c>
      <c r="M88" s="16">
        <f>J88/2</f>
        <v>2.4449999999999998</v>
      </c>
      <c r="O88" s="16">
        <f t="shared" si="21"/>
        <v>2.3219280948873622</v>
      </c>
      <c r="P88" s="16">
        <f t="shared" si="6"/>
        <v>0.83040284654021157</v>
      </c>
    </row>
  </sheetData>
  <conditionalFormatting sqref="E1:E88 F5:G7">
    <cfRule type="cellIs" dxfId="95" priority="6" operator="equal">
      <formula>"KI-CDK9d-32"</formula>
    </cfRule>
    <cfRule type="cellIs" dxfId="94" priority="7" operator="equal">
      <formula>"KI-CDK9d-32N"</formula>
    </cfRule>
    <cfRule type="cellIs" dxfId="93" priority="8" operator="equal">
      <formula>"KB-0742"</formula>
    </cfRule>
    <cfRule type="cellIs" dxfId="92" priority="9" operator="equal">
      <formula>"SY-5609"</formula>
    </cfRule>
    <cfRule type="cellIs" dxfId="91" priority="10" operator="equal">
      <formula>"Senexin B"</formula>
    </cfRule>
    <cfRule type="cellIs" dxfId="90" priority="11" operator="equal">
      <formula>"SEL120"</formula>
    </cfRule>
    <cfRule type="cellIs" dxfId="89" priority="12" operator="equal">
      <formula>"DMSO"</formula>
    </cfRule>
    <cfRule type="cellIs" dxfId="88" priority="13" operator="equal">
      <formula>"NONE"</formula>
    </cfRule>
  </conditionalFormatting>
  <conditionalFormatting sqref="F2:G88">
    <cfRule type="colorScale" priority="14">
      <colorScale>
        <cfvo type="min"/>
        <cfvo type="percentile" val="50"/>
        <cfvo type="max"/>
        <color rgb="FF0000FF"/>
        <color rgb="FFFFFFFF"/>
        <color rgb="FFFF0000"/>
      </colorScale>
    </cfRule>
  </conditionalFormatting>
  <conditionalFormatting sqref="H1:H49 H52:H58 H61:H67 H70:H76 H79:H85 H88">
    <cfRule type="cellIs" dxfId="87" priority="4" operator="equal">
      <formula>3</formula>
    </cfRule>
  </conditionalFormatting>
  <conditionalFormatting sqref="H1:H88">
    <cfRule type="cellIs" dxfId="86" priority="2" operator="equal">
      <formula>1</formula>
    </cfRule>
    <cfRule type="cellIs" dxfId="85" priority="3" operator="equal">
      <formula>2</formula>
    </cfRule>
  </conditionalFormatting>
  <conditionalFormatting sqref="J1:N1 A1:C43 D1:I88">
    <cfRule type="cellIs" dxfId="84" priority="1" operator="equal">
      <formula>"N/A"</formula>
    </cfRule>
  </conditionalFormatting>
  <printOptions horizontalCentered="1" gridLines="1"/>
  <pageMargins left="0.7" right="0.7" top="0.75" bottom="0.75" header="0" footer="0"/>
  <pageSetup scale="5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6"/>
  <sheetViews>
    <sheetView topLeftCell="A35" workbookViewId="0"/>
  </sheetViews>
  <sheetFormatPr baseColWidth="10" defaultColWidth="12.6640625" defaultRowHeight="15.75" customHeight="1" x14ac:dyDescent="0.15"/>
  <cols>
    <col min="1" max="1" width="8.33203125" customWidth="1"/>
    <col min="2" max="2" width="14.5" customWidth="1"/>
    <col min="3" max="3" width="14.1640625" customWidth="1"/>
    <col min="4" max="4" width="7.6640625" customWidth="1"/>
    <col min="9" max="9" width="13.1640625" customWidth="1"/>
    <col min="14" max="14" width="57.33203125" customWidth="1"/>
    <col min="19" max="19" width="9" customWidth="1"/>
    <col min="20" max="20" width="9.1640625" customWidth="1"/>
    <col min="21" max="21" width="8.83203125" customWidth="1"/>
    <col min="22" max="22" width="8.6640625" customWidth="1"/>
    <col min="23" max="23" width="9.33203125" customWidth="1"/>
    <col min="24" max="24" width="9.1640625" customWidth="1"/>
    <col min="25" max="25" width="9.33203125" customWidth="1"/>
    <col min="26" max="26" width="9.1640625" customWidth="1"/>
    <col min="27" max="27" width="8.832031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46</v>
      </c>
      <c r="O1" s="16" t="s">
        <v>47</v>
      </c>
      <c r="P1" s="16" t="s">
        <v>48</v>
      </c>
    </row>
    <row r="2" spans="1:27" ht="15.75" customHeight="1" x14ac:dyDescent="0.15">
      <c r="A2" s="2">
        <v>45703</v>
      </c>
      <c r="B2" s="3">
        <v>7</v>
      </c>
      <c r="C2" s="16" t="s">
        <v>17</v>
      </c>
      <c r="D2" s="16" t="s">
        <v>17</v>
      </c>
      <c r="E2" s="16" t="s">
        <v>17</v>
      </c>
      <c r="F2" s="16" t="s">
        <v>17</v>
      </c>
      <c r="G2" s="16" t="s">
        <v>17</v>
      </c>
      <c r="H2" s="3">
        <v>1</v>
      </c>
      <c r="I2" s="3" t="s">
        <v>49</v>
      </c>
      <c r="J2" s="16" t="s">
        <v>50</v>
      </c>
      <c r="K2" s="16" t="s">
        <v>17</v>
      </c>
      <c r="L2" s="16" t="s">
        <v>17</v>
      </c>
      <c r="M2" s="16" t="s">
        <v>17</v>
      </c>
      <c r="N2" s="16" t="s">
        <v>51</v>
      </c>
    </row>
    <row r="3" spans="1:27" ht="15.75" customHeight="1" x14ac:dyDescent="0.15">
      <c r="A3" s="2">
        <v>45703</v>
      </c>
      <c r="B3" s="3">
        <v>7</v>
      </c>
      <c r="C3" s="16" t="s">
        <v>17</v>
      </c>
      <c r="D3" s="16" t="s">
        <v>17</v>
      </c>
      <c r="E3" s="16" t="s">
        <v>17</v>
      </c>
      <c r="F3" s="16" t="s">
        <v>17</v>
      </c>
      <c r="G3" s="16" t="s">
        <v>17</v>
      </c>
      <c r="H3" s="3">
        <v>2</v>
      </c>
      <c r="I3" s="3" t="s">
        <v>49</v>
      </c>
      <c r="J3" s="16" t="s">
        <v>50</v>
      </c>
      <c r="K3" s="16" t="s">
        <v>17</v>
      </c>
      <c r="L3" s="16" t="s">
        <v>17</v>
      </c>
      <c r="M3" s="16" t="s">
        <v>17</v>
      </c>
      <c r="N3" s="16" t="s">
        <v>51</v>
      </c>
    </row>
    <row r="4" spans="1:27" ht="15.75" customHeight="1" x14ac:dyDescent="0.15">
      <c r="A4" s="2">
        <v>45703</v>
      </c>
      <c r="B4" s="3">
        <v>7</v>
      </c>
      <c r="C4" s="16" t="s">
        <v>17</v>
      </c>
      <c r="D4" s="16" t="s">
        <v>17</v>
      </c>
      <c r="E4" s="16" t="s">
        <v>17</v>
      </c>
      <c r="F4" s="16" t="s">
        <v>17</v>
      </c>
      <c r="G4" s="16" t="s">
        <v>17</v>
      </c>
      <c r="H4" s="3">
        <v>3</v>
      </c>
      <c r="I4" s="3" t="s">
        <v>49</v>
      </c>
      <c r="J4" s="16" t="s">
        <v>50</v>
      </c>
      <c r="K4" s="16" t="s">
        <v>17</v>
      </c>
      <c r="L4" s="16" t="s">
        <v>17</v>
      </c>
      <c r="M4" s="16" t="s">
        <v>17</v>
      </c>
      <c r="N4" s="16" t="s">
        <v>51</v>
      </c>
    </row>
    <row r="5" spans="1:27" ht="15.75" customHeight="1" x14ac:dyDescent="0.15">
      <c r="A5" s="2">
        <v>45704</v>
      </c>
      <c r="B5" s="3">
        <v>8</v>
      </c>
      <c r="C5" s="16" t="s">
        <v>17</v>
      </c>
      <c r="D5" s="16" t="s">
        <v>17</v>
      </c>
      <c r="E5" s="16" t="s">
        <v>17</v>
      </c>
      <c r="F5" s="16" t="s">
        <v>17</v>
      </c>
      <c r="G5" s="16" t="s">
        <v>17</v>
      </c>
      <c r="H5" s="3">
        <v>1</v>
      </c>
      <c r="I5" s="3" t="s">
        <v>52</v>
      </c>
      <c r="J5" s="16" t="s">
        <v>50</v>
      </c>
      <c r="K5" s="16" t="s">
        <v>53</v>
      </c>
      <c r="L5" s="16">
        <v>1</v>
      </c>
      <c r="M5" s="16">
        <v>2.75</v>
      </c>
      <c r="N5" s="16" t="s">
        <v>54</v>
      </c>
    </row>
    <row r="6" spans="1:27" ht="15.75" customHeight="1" x14ac:dyDescent="0.15">
      <c r="A6" s="2">
        <v>45704</v>
      </c>
      <c r="B6" s="3">
        <v>8</v>
      </c>
      <c r="C6" s="16" t="s">
        <v>17</v>
      </c>
      <c r="D6" s="16" t="s">
        <v>17</v>
      </c>
      <c r="E6" s="16" t="s">
        <v>17</v>
      </c>
      <c r="F6" s="16" t="s">
        <v>17</v>
      </c>
      <c r="G6" s="16" t="s">
        <v>17</v>
      </c>
      <c r="H6" s="3">
        <v>2</v>
      </c>
      <c r="I6" s="3" t="s">
        <v>52</v>
      </c>
      <c r="J6" s="16" t="s">
        <v>50</v>
      </c>
      <c r="K6" s="16" t="s">
        <v>53</v>
      </c>
      <c r="L6" s="16">
        <v>1</v>
      </c>
      <c r="M6" s="16">
        <v>2.75</v>
      </c>
      <c r="N6" s="16" t="s">
        <v>54</v>
      </c>
    </row>
    <row r="7" spans="1:27" ht="15.75" customHeight="1" x14ac:dyDescent="0.15">
      <c r="A7" s="2">
        <v>45704</v>
      </c>
      <c r="B7" s="3">
        <v>8</v>
      </c>
      <c r="C7" s="16" t="s">
        <v>17</v>
      </c>
      <c r="D7" s="16" t="s">
        <v>17</v>
      </c>
      <c r="E7" s="16" t="s">
        <v>17</v>
      </c>
      <c r="F7" s="16" t="s">
        <v>17</v>
      </c>
      <c r="G7" s="16" t="s">
        <v>17</v>
      </c>
      <c r="H7" s="3">
        <v>3</v>
      </c>
      <c r="I7" s="3" t="s">
        <v>52</v>
      </c>
      <c r="J7" s="16" t="s">
        <v>50</v>
      </c>
      <c r="K7" s="16" t="s">
        <v>53</v>
      </c>
      <c r="L7" s="16">
        <v>1</v>
      </c>
      <c r="M7" s="16">
        <v>2.75</v>
      </c>
      <c r="N7" s="16" t="s">
        <v>54</v>
      </c>
    </row>
    <row r="8" spans="1:27" ht="15.75" customHeight="1" x14ac:dyDescent="0.15">
      <c r="A8" s="2">
        <v>45704</v>
      </c>
      <c r="B8" s="3">
        <v>8</v>
      </c>
      <c r="C8" s="16" t="s">
        <v>17</v>
      </c>
      <c r="D8" s="16" t="s">
        <v>17</v>
      </c>
      <c r="E8" s="3" t="s">
        <v>32</v>
      </c>
      <c r="F8" s="4">
        <v>1E-4</v>
      </c>
      <c r="G8" s="4">
        <v>1E-4</v>
      </c>
      <c r="H8" s="3">
        <v>1</v>
      </c>
      <c r="I8" s="3" t="s">
        <v>25</v>
      </c>
      <c r="J8" s="16">
        <v>2.75</v>
      </c>
      <c r="K8" s="16" t="s">
        <v>17</v>
      </c>
      <c r="L8" s="16" t="s">
        <v>17</v>
      </c>
      <c r="M8" s="16" t="s">
        <v>17</v>
      </c>
      <c r="O8" s="16">
        <v>0</v>
      </c>
      <c r="P8" s="16">
        <v>0</v>
      </c>
      <c r="R8" s="16" t="s">
        <v>55</v>
      </c>
      <c r="S8" s="16" t="s">
        <v>56</v>
      </c>
      <c r="T8" s="16" t="s">
        <v>57</v>
      </c>
      <c r="U8" s="16" t="s">
        <v>58</v>
      </c>
      <c r="V8" s="16" t="s">
        <v>59</v>
      </c>
      <c r="W8" s="16" t="s">
        <v>60</v>
      </c>
      <c r="X8" s="16" t="s">
        <v>61</v>
      </c>
      <c r="Y8" s="16" t="s">
        <v>62</v>
      </c>
      <c r="Z8" s="16" t="s">
        <v>63</v>
      </c>
      <c r="AA8" s="16" t="s">
        <v>64</v>
      </c>
    </row>
    <row r="9" spans="1:27" ht="15.75" customHeight="1" x14ac:dyDescent="0.15">
      <c r="A9" s="2">
        <v>45704</v>
      </c>
      <c r="B9" s="3">
        <v>8</v>
      </c>
      <c r="C9" s="16" t="s">
        <v>17</v>
      </c>
      <c r="D9" s="16" t="s">
        <v>17</v>
      </c>
      <c r="E9" s="3" t="s">
        <v>32</v>
      </c>
      <c r="F9" s="4">
        <v>1E-4</v>
      </c>
      <c r="G9" s="4">
        <v>1E-4</v>
      </c>
      <c r="H9" s="3">
        <v>2</v>
      </c>
      <c r="I9" s="3" t="s">
        <v>25</v>
      </c>
      <c r="J9" s="16">
        <v>2.75</v>
      </c>
      <c r="K9" s="16" t="s">
        <v>17</v>
      </c>
      <c r="L9" s="16" t="s">
        <v>17</v>
      </c>
      <c r="M9" s="16" t="s">
        <v>17</v>
      </c>
      <c r="O9" s="16">
        <v>0</v>
      </c>
      <c r="P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</row>
    <row r="10" spans="1:27" ht="15.75" customHeight="1" x14ac:dyDescent="0.15">
      <c r="A10" s="2">
        <v>45704</v>
      </c>
      <c r="B10" s="3">
        <v>8</v>
      </c>
      <c r="C10" s="16" t="s">
        <v>17</v>
      </c>
      <c r="D10" s="16" t="s">
        <v>17</v>
      </c>
      <c r="E10" s="3" t="s">
        <v>32</v>
      </c>
      <c r="F10" s="4">
        <v>1E-4</v>
      </c>
      <c r="G10" s="4">
        <v>1E-4</v>
      </c>
      <c r="H10" s="3">
        <v>3</v>
      </c>
      <c r="I10" s="3" t="s">
        <v>25</v>
      </c>
      <c r="J10" s="16">
        <v>2.75</v>
      </c>
      <c r="K10" s="16" t="s">
        <v>17</v>
      </c>
      <c r="L10" s="16" t="s">
        <v>17</v>
      </c>
      <c r="M10" s="16" t="s">
        <v>17</v>
      </c>
      <c r="O10" s="16">
        <v>0</v>
      </c>
      <c r="P10" s="16">
        <v>0</v>
      </c>
      <c r="R10" s="16">
        <v>3</v>
      </c>
      <c r="S10" s="16">
        <f>P17</f>
        <v>2.0259952085329442</v>
      </c>
      <c r="T10" s="16">
        <f>P18</f>
        <v>2.0388192488905283</v>
      </c>
      <c r="U10" s="16">
        <f>P19</f>
        <v>2.0890050060587448</v>
      </c>
      <c r="V10" s="16">
        <f>P20</f>
        <v>1.15410003428063</v>
      </c>
      <c r="W10" s="16">
        <f>P21</f>
        <v>1.1936283984672671</v>
      </c>
      <c r="X10" s="16">
        <f>P22</f>
        <v>1.4872992415030124</v>
      </c>
      <c r="Y10" s="16">
        <f>P23</f>
        <v>0.33965568743670627</v>
      </c>
      <c r="Z10" s="16">
        <f>P24</f>
        <v>5.236648366147136E-3</v>
      </c>
      <c r="AA10" s="16">
        <f>P25</f>
        <v>0.80960152781793993</v>
      </c>
    </row>
    <row r="11" spans="1:27" ht="15.75" customHeight="1" x14ac:dyDescent="0.15">
      <c r="A11" s="2">
        <v>45704</v>
      </c>
      <c r="B11" s="3">
        <v>8</v>
      </c>
      <c r="C11" s="16" t="s">
        <v>17</v>
      </c>
      <c r="D11" s="16" t="s">
        <v>17</v>
      </c>
      <c r="E11" s="3" t="s">
        <v>29</v>
      </c>
      <c r="F11" s="3">
        <v>10</v>
      </c>
      <c r="G11" s="3">
        <v>10</v>
      </c>
      <c r="H11" s="3">
        <v>1</v>
      </c>
      <c r="I11" s="3" t="s">
        <v>25</v>
      </c>
      <c r="J11" s="16">
        <v>2.75</v>
      </c>
      <c r="K11" s="16" t="s">
        <v>17</v>
      </c>
      <c r="L11" s="16" t="s">
        <v>17</v>
      </c>
      <c r="M11" s="16" t="s">
        <v>17</v>
      </c>
      <c r="O11" s="16">
        <v>0</v>
      </c>
      <c r="P11" s="16">
        <v>0</v>
      </c>
      <c r="R11" s="16">
        <v>6</v>
      </c>
      <c r="S11" s="16">
        <f>P26</f>
        <v>3.5901991490873031</v>
      </c>
      <c r="T11" s="16">
        <f>P27</f>
        <v>3.5040425053375888</v>
      </c>
      <c r="U11" s="16">
        <f>P28</f>
        <v>3.5242460760607699</v>
      </c>
      <c r="V11" s="16">
        <f>P29</f>
        <v>1.0208335034171658</v>
      </c>
      <c r="W11" s="16">
        <f>P30</f>
        <v>1.4854268271702415</v>
      </c>
      <c r="X11" s="16">
        <f>P31</f>
        <v>1.3061031277256798</v>
      </c>
      <c r="Y11" s="16">
        <f>P32</f>
        <v>2.5995208532944236E-2</v>
      </c>
      <c r="Z11" s="16">
        <f>P33</f>
        <v>-0.3821886197048367</v>
      </c>
      <c r="AA11" s="16">
        <f>P34</f>
        <v>0.13033186834768007</v>
      </c>
    </row>
    <row r="12" spans="1:27" ht="15.75" customHeight="1" x14ac:dyDescent="0.15">
      <c r="A12" s="2">
        <v>45704</v>
      </c>
      <c r="B12" s="3">
        <v>8</v>
      </c>
      <c r="C12" s="16" t="s">
        <v>17</v>
      </c>
      <c r="D12" s="16" t="s">
        <v>17</v>
      </c>
      <c r="E12" s="3" t="s">
        <v>29</v>
      </c>
      <c r="F12" s="3">
        <v>10</v>
      </c>
      <c r="G12" s="3">
        <v>10</v>
      </c>
      <c r="H12" s="3">
        <v>2</v>
      </c>
      <c r="I12" s="3" t="s">
        <v>25</v>
      </c>
      <c r="J12" s="16">
        <v>2.75</v>
      </c>
      <c r="K12" s="16" t="s">
        <v>17</v>
      </c>
      <c r="L12" s="16" t="s">
        <v>17</v>
      </c>
      <c r="M12" s="16" t="s">
        <v>17</v>
      </c>
      <c r="O12" s="16">
        <v>0</v>
      </c>
      <c r="P12" s="16">
        <v>0</v>
      </c>
      <c r="R12" s="16">
        <v>9</v>
      </c>
      <c r="S12" s="16">
        <f>P35</f>
        <v>5.3560359492076266</v>
      </c>
      <c r="T12" s="16">
        <f>P36</f>
        <v>5.1995314635276362</v>
      </c>
      <c r="U12" s="16">
        <f>P37</f>
        <v>5.2869943047779753</v>
      </c>
      <c r="V12" s="16">
        <f>P38</f>
        <v>1.0208335034171658</v>
      </c>
      <c r="W12" s="16">
        <f>P39</f>
        <v>1.4854268271702415</v>
      </c>
      <c r="X12" s="16">
        <f>P40</f>
        <v>1.3061031277256798</v>
      </c>
      <c r="Y12" s="16">
        <f>P41</f>
        <v>2.5995208532944236E-2</v>
      </c>
      <c r="Z12" s="16">
        <f>P42</f>
        <v>-0.3821886197048367</v>
      </c>
      <c r="AA12" s="16">
        <f>P43</f>
        <v>0.13033186834768007</v>
      </c>
    </row>
    <row r="13" spans="1:27" ht="15.75" customHeight="1" x14ac:dyDescent="0.15">
      <c r="A13" s="2">
        <v>45704</v>
      </c>
      <c r="B13" s="3">
        <v>8</v>
      </c>
      <c r="C13" s="16" t="s">
        <v>17</v>
      </c>
      <c r="D13" s="16" t="s">
        <v>17</v>
      </c>
      <c r="E13" s="3" t="s">
        <v>29</v>
      </c>
      <c r="F13" s="3">
        <v>10</v>
      </c>
      <c r="G13" s="3">
        <v>10</v>
      </c>
      <c r="H13" s="3">
        <v>3</v>
      </c>
      <c r="I13" s="3" t="s">
        <v>25</v>
      </c>
      <c r="J13" s="16">
        <v>2.75</v>
      </c>
      <c r="K13" s="16" t="s">
        <v>17</v>
      </c>
      <c r="L13" s="16" t="s">
        <v>17</v>
      </c>
      <c r="M13" s="16" t="s">
        <v>17</v>
      </c>
      <c r="O13" s="16">
        <v>0</v>
      </c>
      <c r="P13" s="16">
        <v>0</v>
      </c>
      <c r="R13" s="16">
        <v>12</v>
      </c>
      <c r="S13" s="16">
        <f>P44</f>
        <v>6.4600590137508549</v>
      </c>
      <c r="T13" s="16">
        <f>P45</f>
        <v>6.7504850720838938</v>
      </c>
      <c r="U13" s="16">
        <f>P46</f>
        <v>6.6896598793878495</v>
      </c>
      <c r="V13" s="16">
        <f>P47</f>
        <v>1.0413704344198604</v>
      </c>
      <c r="W13" s="16">
        <f>P48</f>
        <v>1.2933169727698361</v>
      </c>
      <c r="X13" s="16">
        <f>P49</f>
        <v>1.2365621944726028</v>
      </c>
      <c r="Y13" s="16">
        <f>P50</f>
        <v>-0.61143471208234745</v>
      </c>
      <c r="Z13" s="16">
        <f>P51</f>
        <v>-0.9333628069697093</v>
      </c>
      <c r="AA13" s="16">
        <f>P52</f>
        <v>-0.5033749662248943</v>
      </c>
    </row>
    <row r="14" spans="1:27" ht="15.75" customHeight="1" x14ac:dyDescent="0.15">
      <c r="A14" s="2">
        <v>45704</v>
      </c>
      <c r="B14" s="3">
        <v>8</v>
      </c>
      <c r="C14" s="16" t="s">
        <v>17</v>
      </c>
      <c r="D14" s="16" t="s">
        <v>17</v>
      </c>
      <c r="E14" s="3" t="s">
        <v>29</v>
      </c>
      <c r="F14" s="3">
        <v>100</v>
      </c>
      <c r="G14" s="3">
        <v>100</v>
      </c>
      <c r="H14" s="3">
        <v>1</v>
      </c>
      <c r="I14" s="3" t="s">
        <v>25</v>
      </c>
      <c r="J14" s="16">
        <v>2.75</v>
      </c>
      <c r="K14" s="16" t="s">
        <v>17</v>
      </c>
      <c r="L14" s="16" t="s">
        <v>17</v>
      </c>
      <c r="M14" s="16" t="s">
        <v>17</v>
      </c>
      <c r="O14" s="16">
        <v>0</v>
      </c>
      <c r="P14" s="16">
        <v>0</v>
      </c>
      <c r="R14" s="16">
        <v>15</v>
      </c>
      <c r="S14" s="16">
        <f>$P53</f>
        <v>8.3537238332456489</v>
      </c>
      <c r="T14" s="16">
        <f>$P54</f>
        <v>8.2435409154952257</v>
      </c>
      <c r="U14" s="16">
        <f>$P55</f>
        <v>8.3395099740259475</v>
      </c>
      <c r="V14" s="16">
        <f>$P56</f>
        <v>1.0413704344198604</v>
      </c>
      <c r="W14" s="16">
        <f>$P57</f>
        <v>1.2933169727698361</v>
      </c>
      <c r="X14" s="16">
        <f>$P58</f>
        <v>1.2365621944726028</v>
      </c>
      <c r="Y14" s="16">
        <f>P59</f>
        <v>-0.61143471208234745</v>
      </c>
      <c r="Z14" s="16">
        <f>P60</f>
        <v>-0.9333628069697093</v>
      </c>
      <c r="AA14" s="16">
        <f>P61</f>
        <v>-0.5033749662248943</v>
      </c>
    </row>
    <row r="15" spans="1:27" ht="15.75" customHeight="1" x14ac:dyDescent="0.15">
      <c r="A15" s="2">
        <v>45704</v>
      </c>
      <c r="B15" s="3">
        <v>8</v>
      </c>
      <c r="C15" s="16" t="s">
        <v>17</v>
      </c>
      <c r="D15" s="16" t="s">
        <v>17</v>
      </c>
      <c r="E15" s="3" t="s">
        <v>29</v>
      </c>
      <c r="F15" s="3">
        <v>100</v>
      </c>
      <c r="G15" s="3">
        <v>100</v>
      </c>
      <c r="H15" s="3">
        <v>2</v>
      </c>
      <c r="I15" s="3" t="s">
        <v>25</v>
      </c>
      <c r="J15" s="16">
        <v>2.75</v>
      </c>
      <c r="K15" s="16" t="s">
        <v>17</v>
      </c>
      <c r="L15" s="16" t="s">
        <v>17</v>
      </c>
      <c r="M15" s="16" t="s">
        <v>17</v>
      </c>
      <c r="O15" s="16">
        <v>0</v>
      </c>
      <c r="P15" s="16">
        <v>0</v>
      </c>
      <c r="R15" s="16">
        <v>18</v>
      </c>
      <c r="S15" s="16">
        <f>P62</f>
        <v>10.035385253935891</v>
      </c>
      <c r="T15" s="16">
        <f>P63</f>
        <v>9.8307124633253551</v>
      </c>
      <c r="U15" s="16">
        <f>P64</f>
        <v>9.9868743807540721</v>
      </c>
      <c r="V15" s="16">
        <f>P65</f>
        <v>0.63817917798912516</v>
      </c>
      <c r="W15" s="16">
        <f>P66</f>
        <v>0.86249647625006465</v>
      </c>
      <c r="X15" s="16">
        <f>P67</f>
        <v>0.55492367433977285</v>
      </c>
      <c r="Y15" s="16">
        <f>P68</f>
        <v>-1.3890422907458992</v>
      </c>
      <c r="Z15" s="16">
        <f>P69</f>
        <v>-1.6114347120823469</v>
      </c>
      <c r="AA15" s="16">
        <f>P70</f>
        <v>-0.98434673568851461</v>
      </c>
    </row>
    <row r="16" spans="1:27" ht="15.75" customHeight="1" x14ac:dyDescent="0.15">
      <c r="A16" s="2">
        <v>45704</v>
      </c>
      <c r="B16" s="3">
        <v>8</v>
      </c>
      <c r="C16" s="16" t="s">
        <v>17</v>
      </c>
      <c r="D16" s="16" t="s">
        <v>17</v>
      </c>
      <c r="E16" s="3" t="s">
        <v>29</v>
      </c>
      <c r="F16" s="3">
        <v>100</v>
      </c>
      <c r="G16" s="3">
        <v>100</v>
      </c>
      <c r="H16" s="3">
        <v>3</v>
      </c>
      <c r="I16" s="3" t="s">
        <v>25</v>
      </c>
      <c r="J16" s="16">
        <v>2.75</v>
      </c>
      <c r="K16" s="16" t="s">
        <v>17</v>
      </c>
      <c r="L16" s="16" t="s">
        <v>17</v>
      </c>
      <c r="M16" s="16" t="s">
        <v>17</v>
      </c>
      <c r="O16" s="16">
        <v>0</v>
      </c>
      <c r="P16" s="16">
        <v>0</v>
      </c>
      <c r="R16" s="16">
        <v>21</v>
      </c>
      <c r="S16" s="16">
        <f>P71</f>
        <v>11.526560014570199</v>
      </c>
      <c r="T16" s="16">
        <f>P72</f>
        <v>11.306308620152878</v>
      </c>
      <c r="U16" s="16">
        <f>P73</f>
        <v>11.430590956039476</v>
      </c>
      <c r="V16" s="16">
        <f>P74</f>
        <v>0.63817917798912516</v>
      </c>
      <c r="W16" s="16">
        <f>P75</f>
        <v>0.86249647625006465</v>
      </c>
      <c r="X16" s="16">
        <f>P76</f>
        <v>0.55492367433977285</v>
      </c>
      <c r="Y16" s="16">
        <f>P77</f>
        <v>-1.3890422907458992</v>
      </c>
      <c r="Z16" s="16">
        <f>P78</f>
        <v>-1.6114347120823469</v>
      </c>
      <c r="AA16" s="16">
        <f>P79</f>
        <v>-0.98434673568851461</v>
      </c>
    </row>
    <row r="17" spans="1:27" ht="15.75" customHeight="1" x14ac:dyDescent="0.15">
      <c r="A17" s="2">
        <v>45707</v>
      </c>
      <c r="B17" s="3">
        <v>11</v>
      </c>
      <c r="C17" s="3">
        <v>3</v>
      </c>
      <c r="D17" s="16" t="s">
        <v>17</v>
      </c>
      <c r="E17" s="3" t="s">
        <v>32</v>
      </c>
      <c r="F17" s="4">
        <v>1E-4</v>
      </c>
      <c r="G17" s="4">
        <v>1E-4</v>
      </c>
      <c r="H17" s="3">
        <v>1</v>
      </c>
      <c r="I17" s="3" t="s">
        <v>25</v>
      </c>
      <c r="J17" s="16">
        <v>11.2</v>
      </c>
      <c r="K17" s="16">
        <f t="shared" ref="K17:K19" si="0">J17/4</f>
        <v>2.8</v>
      </c>
      <c r="L17" s="16">
        <v>1</v>
      </c>
      <c r="M17" s="16">
        <v>2.8</v>
      </c>
      <c r="O17" s="16">
        <f t="shared" ref="O17:O25" si="1">LOG(J17/J8,2)</f>
        <v>2.0259952085329442</v>
      </c>
      <c r="P17" s="16">
        <f t="shared" ref="P17:P25" si="2">O17</f>
        <v>2.0259952085329442</v>
      </c>
      <c r="R17" s="16">
        <v>24</v>
      </c>
      <c r="S17" s="16">
        <f>P80</f>
        <v>12.90083321768801</v>
      </c>
      <c r="T17" s="16">
        <f>P81</f>
        <v>13.19821912831258</v>
      </c>
      <c r="U17" s="16">
        <f>P82</f>
        <v>12.962088906180446</v>
      </c>
      <c r="V17" s="16">
        <f>P83</f>
        <v>0.2365621944726029</v>
      </c>
      <c r="W17" s="16">
        <f>P84</f>
        <v>0.96817455414460185</v>
      </c>
      <c r="X17" s="16">
        <f>P85</f>
        <v>5.658352836636743E-2</v>
      </c>
      <c r="Y17" s="16">
        <f>P86</f>
        <v>-0.74573580379393845</v>
      </c>
      <c r="Z17" s="16">
        <f>P87</f>
        <v>-1.2703977942472799</v>
      </c>
      <c r="AA17" s="16">
        <f>P88</f>
        <v>-0.86488306908694301</v>
      </c>
    </row>
    <row r="18" spans="1:27" ht="15.75" customHeight="1" x14ac:dyDescent="0.15">
      <c r="A18" s="2">
        <v>45707</v>
      </c>
      <c r="B18" s="3">
        <v>11</v>
      </c>
      <c r="C18" s="3">
        <v>3</v>
      </c>
      <c r="D18" s="16" t="s">
        <v>17</v>
      </c>
      <c r="E18" s="3" t="s">
        <v>32</v>
      </c>
      <c r="F18" s="4">
        <v>1E-4</v>
      </c>
      <c r="G18" s="4">
        <v>1E-4</v>
      </c>
      <c r="H18" s="3">
        <v>2</v>
      </c>
      <c r="I18" s="3" t="s">
        <v>25</v>
      </c>
      <c r="J18" s="16">
        <v>11.3</v>
      </c>
      <c r="K18" s="16">
        <f t="shared" si="0"/>
        <v>2.8250000000000002</v>
      </c>
      <c r="L18" s="16">
        <v>1</v>
      </c>
      <c r="M18" s="16">
        <v>2.8250000000000002</v>
      </c>
      <c r="O18" s="16">
        <f t="shared" si="1"/>
        <v>2.0388192488905283</v>
      </c>
      <c r="P18" s="16">
        <f t="shared" si="2"/>
        <v>2.0388192488905283</v>
      </c>
      <c r="R18" s="16">
        <v>27</v>
      </c>
      <c r="S18" s="16">
        <f>P89</f>
        <v>14.578361837145239</v>
      </c>
      <c r="T18" s="16">
        <f>P90</f>
        <v>14.482315149674204</v>
      </c>
      <c r="U18" s="16">
        <f>P91</f>
        <v>14.501355192614701</v>
      </c>
      <c r="V18" s="16">
        <f>P92</f>
        <v>0.2365621944726029</v>
      </c>
      <c r="W18" s="16">
        <f>P93</f>
        <v>0.96817455414460185</v>
      </c>
      <c r="X18" s="16">
        <f>P94</f>
        <v>5.658352836636743E-2</v>
      </c>
      <c r="Y18" s="16">
        <f>P95</f>
        <v>-0.74573580379393845</v>
      </c>
      <c r="Z18" s="16">
        <f>P96</f>
        <v>-1.2703977942472799</v>
      </c>
      <c r="AA18" s="16">
        <f>P97</f>
        <v>-0.86488306908694301</v>
      </c>
    </row>
    <row r="19" spans="1:27" ht="15.75" customHeight="1" x14ac:dyDescent="0.15">
      <c r="A19" s="2">
        <v>45707</v>
      </c>
      <c r="B19" s="3">
        <v>11</v>
      </c>
      <c r="C19" s="3">
        <v>3</v>
      </c>
      <c r="D19" s="16" t="s">
        <v>17</v>
      </c>
      <c r="E19" s="3" t="s">
        <v>32</v>
      </c>
      <c r="F19" s="4">
        <v>1E-4</v>
      </c>
      <c r="G19" s="4">
        <v>1E-4</v>
      </c>
      <c r="H19" s="3">
        <v>3</v>
      </c>
      <c r="I19" s="3" t="s">
        <v>25</v>
      </c>
      <c r="J19" s="16">
        <v>11.7</v>
      </c>
      <c r="K19" s="16">
        <f t="shared" si="0"/>
        <v>2.9249999999999998</v>
      </c>
      <c r="L19" s="16">
        <v>1</v>
      </c>
      <c r="M19" s="16">
        <v>2.9249999999999998</v>
      </c>
      <c r="O19" s="16">
        <f t="shared" si="1"/>
        <v>2.0890050060587448</v>
      </c>
      <c r="P19" s="16">
        <f t="shared" si="2"/>
        <v>2.0890050060587448</v>
      </c>
      <c r="R19" s="16">
        <v>30</v>
      </c>
      <c r="S19" s="16">
        <f>P98</f>
        <v>16.140319601494902</v>
      </c>
      <c r="T19" s="16">
        <f>P99</f>
        <v>16.179534565047653</v>
      </c>
      <c r="U19" s="16">
        <f>P100</f>
        <v>16.212994480992979</v>
      </c>
      <c r="V19" s="16">
        <f>P101</f>
        <v>2.5814608120096039</v>
      </c>
      <c r="W19" s="16">
        <f>P102</f>
        <v>1.6109577092541005</v>
      </c>
      <c r="X19" s="16">
        <f>P103</f>
        <v>0.28902961436673824</v>
      </c>
      <c r="Y19" s="16">
        <f>P104</f>
        <v>2.6780719051126374</v>
      </c>
      <c r="Z19" s="16">
        <f>P105</f>
        <v>1.9601072728764879</v>
      </c>
      <c r="AA19" s="16">
        <f>P106</f>
        <v>1.9328858041414629</v>
      </c>
    </row>
    <row r="20" spans="1:27" ht="15.75" customHeight="1" x14ac:dyDescent="0.15">
      <c r="A20" s="2">
        <v>45707</v>
      </c>
      <c r="B20" s="3">
        <v>11</v>
      </c>
      <c r="C20" s="3">
        <v>3</v>
      </c>
      <c r="D20" s="16" t="s">
        <v>17</v>
      </c>
      <c r="E20" s="3" t="s">
        <v>29</v>
      </c>
      <c r="F20" s="3">
        <v>10</v>
      </c>
      <c r="G20" s="3">
        <v>100</v>
      </c>
      <c r="H20" s="3">
        <v>1</v>
      </c>
      <c r="I20" s="3" t="s">
        <v>25</v>
      </c>
      <c r="J20" s="16">
        <v>6.12</v>
      </c>
      <c r="K20" s="16">
        <f t="shared" ref="K20:K22" si="3">J20/2</f>
        <v>3.06</v>
      </c>
      <c r="L20" s="16">
        <v>1</v>
      </c>
      <c r="M20" s="16">
        <v>3.06</v>
      </c>
      <c r="N20" s="18" t="s">
        <v>70</v>
      </c>
      <c r="O20" s="16">
        <f t="shared" si="1"/>
        <v>1.15410003428063</v>
      </c>
      <c r="P20" s="16">
        <f t="shared" si="2"/>
        <v>1.15410003428063</v>
      </c>
    </row>
    <row r="21" spans="1:27" ht="15.75" customHeight="1" x14ac:dyDescent="0.15">
      <c r="A21" s="2">
        <v>45707</v>
      </c>
      <c r="B21" s="3">
        <v>11</v>
      </c>
      <c r="C21" s="3">
        <v>3</v>
      </c>
      <c r="D21" s="16" t="s">
        <v>17</v>
      </c>
      <c r="E21" s="3" t="s">
        <v>29</v>
      </c>
      <c r="F21" s="3">
        <v>10</v>
      </c>
      <c r="G21" s="3">
        <v>100</v>
      </c>
      <c r="H21" s="3">
        <v>2</v>
      </c>
      <c r="I21" s="3" t="s">
        <v>25</v>
      </c>
      <c r="J21" s="16">
        <v>6.29</v>
      </c>
      <c r="K21" s="16">
        <f t="shared" si="3"/>
        <v>3.145</v>
      </c>
      <c r="L21" s="16">
        <v>1</v>
      </c>
      <c r="M21" s="16">
        <v>3.145</v>
      </c>
      <c r="O21" s="16">
        <f t="shared" si="1"/>
        <v>1.1936283984672671</v>
      </c>
      <c r="P21" s="16">
        <f t="shared" si="2"/>
        <v>1.1936283984672671</v>
      </c>
    </row>
    <row r="22" spans="1:27" ht="15.75" customHeight="1" x14ac:dyDescent="0.15">
      <c r="A22" s="2">
        <v>45707</v>
      </c>
      <c r="B22" s="3">
        <v>11</v>
      </c>
      <c r="C22" s="3">
        <v>3</v>
      </c>
      <c r="D22" s="16" t="s">
        <v>17</v>
      </c>
      <c r="E22" s="3" t="s">
        <v>29</v>
      </c>
      <c r="F22" s="3">
        <v>10</v>
      </c>
      <c r="G22" s="3">
        <v>100</v>
      </c>
      <c r="H22" s="3">
        <v>3</v>
      </c>
      <c r="I22" s="3" t="s">
        <v>25</v>
      </c>
      <c r="J22" s="16">
        <v>7.71</v>
      </c>
      <c r="K22" s="16">
        <f t="shared" si="3"/>
        <v>3.855</v>
      </c>
      <c r="L22" s="16">
        <v>1</v>
      </c>
      <c r="M22" s="16">
        <v>3.855</v>
      </c>
      <c r="O22" s="16">
        <f t="shared" si="1"/>
        <v>1.4872992415030124</v>
      </c>
      <c r="P22" s="16">
        <f t="shared" si="2"/>
        <v>1.4872992415030124</v>
      </c>
    </row>
    <row r="23" spans="1:27" ht="15.75" customHeight="1" x14ac:dyDescent="0.15">
      <c r="A23" s="2">
        <v>45707</v>
      </c>
      <c r="B23" s="3">
        <v>11</v>
      </c>
      <c r="C23" s="3">
        <v>3</v>
      </c>
      <c r="D23" s="16" t="s">
        <v>17</v>
      </c>
      <c r="E23" s="3" t="s">
        <v>29</v>
      </c>
      <c r="F23" s="3">
        <v>100</v>
      </c>
      <c r="G23" s="17">
        <v>1000</v>
      </c>
      <c r="H23" s="3">
        <v>1</v>
      </c>
      <c r="I23" s="3" t="s">
        <v>25</v>
      </c>
      <c r="J23" s="16">
        <v>3.48</v>
      </c>
      <c r="K23" s="16">
        <v>3.48</v>
      </c>
      <c r="L23" s="16" t="s">
        <v>17</v>
      </c>
      <c r="M23" s="16" t="s">
        <v>17</v>
      </c>
      <c r="O23" s="16">
        <f t="shared" si="1"/>
        <v>0.33965568743670627</v>
      </c>
      <c r="P23" s="16">
        <f t="shared" si="2"/>
        <v>0.33965568743670627</v>
      </c>
    </row>
    <row r="24" spans="1:27" ht="15.75" customHeight="1" x14ac:dyDescent="0.15">
      <c r="A24" s="2">
        <v>45707</v>
      </c>
      <c r="B24" s="3">
        <v>11</v>
      </c>
      <c r="C24" s="3">
        <v>3</v>
      </c>
      <c r="D24" s="16" t="s">
        <v>17</v>
      </c>
      <c r="E24" s="3" t="s">
        <v>29</v>
      </c>
      <c r="F24" s="3">
        <v>100</v>
      </c>
      <c r="G24" s="17">
        <v>1000</v>
      </c>
      <c r="H24" s="3">
        <v>2</v>
      </c>
      <c r="I24" s="3" t="s">
        <v>25</v>
      </c>
      <c r="J24" s="16">
        <v>2.76</v>
      </c>
      <c r="K24" s="16">
        <v>2.76</v>
      </c>
      <c r="L24" s="16" t="s">
        <v>17</v>
      </c>
      <c r="M24" s="16" t="s">
        <v>17</v>
      </c>
      <c r="O24" s="16">
        <f t="shared" si="1"/>
        <v>5.236648366147136E-3</v>
      </c>
      <c r="P24" s="16">
        <f t="shared" si="2"/>
        <v>5.236648366147136E-3</v>
      </c>
    </row>
    <row r="25" spans="1:27" ht="15.75" customHeight="1" x14ac:dyDescent="0.15">
      <c r="A25" s="2">
        <v>45707</v>
      </c>
      <c r="B25" s="3">
        <v>11</v>
      </c>
      <c r="C25" s="3">
        <v>3</v>
      </c>
      <c r="D25" s="16" t="s">
        <v>17</v>
      </c>
      <c r="E25" s="3" t="s">
        <v>29</v>
      </c>
      <c r="F25" s="3">
        <v>100</v>
      </c>
      <c r="G25" s="17">
        <v>1000</v>
      </c>
      <c r="H25" s="3">
        <v>3</v>
      </c>
      <c r="I25" s="3" t="s">
        <v>25</v>
      </c>
      <c r="J25" s="16">
        <v>4.82</v>
      </c>
      <c r="K25" s="16">
        <v>4.82</v>
      </c>
      <c r="L25" s="16" t="s">
        <v>17</v>
      </c>
      <c r="M25" s="16" t="s">
        <v>17</v>
      </c>
      <c r="O25" s="16">
        <f t="shared" si="1"/>
        <v>0.80960152781793993</v>
      </c>
      <c r="P25" s="16">
        <f t="shared" si="2"/>
        <v>0.80960152781793993</v>
      </c>
    </row>
    <row r="26" spans="1:27" ht="15.75" customHeight="1" x14ac:dyDescent="0.15">
      <c r="A26" s="2">
        <v>45710</v>
      </c>
      <c r="B26" s="3">
        <v>14</v>
      </c>
      <c r="C26" s="3">
        <v>6</v>
      </c>
      <c r="D26" s="16" t="s">
        <v>17</v>
      </c>
      <c r="E26" s="3" t="s">
        <v>32</v>
      </c>
      <c r="F26" s="4">
        <v>1E-4</v>
      </c>
      <c r="G26" s="4">
        <v>1E-4</v>
      </c>
      <c r="H26" s="3">
        <v>1</v>
      </c>
      <c r="I26" s="3" t="s">
        <v>25</v>
      </c>
      <c r="J26" s="16">
        <v>8.2799999999999994</v>
      </c>
      <c r="K26" s="16">
        <f t="shared" ref="K26:K28" si="4">J26*0.38</f>
        <v>3.1463999999999999</v>
      </c>
      <c r="L26" s="16" t="s">
        <v>17</v>
      </c>
      <c r="M26" s="16" t="s">
        <v>17</v>
      </c>
      <c r="O26" s="16">
        <f t="shared" ref="O26:O37" si="5">LOG(J26/K17,2)</f>
        <v>1.5642039405543589</v>
      </c>
      <c r="P26" s="16">
        <f t="shared" ref="P26:P106" si="6">O26+P17</f>
        <v>3.5901991490873031</v>
      </c>
    </row>
    <row r="27" spans="1:27" ht="15.75" customHeight="1" x14ac:dyDescent="0.15">
      <c r="A27" s="2">
        <v>45710</v>
      </c>
      <c r="B27" s="3">
        <v>14</v>
      </c>
      <c r="C27" s="3">
        <v>6</v>
      </c>
      <c r="D27" s="16" t="s">
        <v>17</v>
      </c>
      <c r="E27" s="3" t="s">
        <v>32</v>
      </c>
      <c r="F27" s="4">
        <v>1E-4</v>
      </c>
      <c r="G27" s="4">
        <v>1E-4</v>
      </c>
      <c r="H27" s="3">
        <v>2</v>
      </c>
      <c r="I27" s="3" t="s">
        <v>25</v>
      </c>
      <c r="J27" s="16">
        <v>7.8</v>
      </c>
      <c r="K27" s="16">
        <f t="shared" si="4"/>
        <v>2.964</v>
      </c>
      <c r="L27" s="16" t="s">
        <v>17</v>
      </c>
      <c r="M27" s="16" t="s">
        <v>17</v>
      </c>
      <c r="O27" s="16">
        <f t="shared" si="5"/>
        <v>1.4652232564470604</v>
      </c>
      <c r="P27" s="16">
        <f t="shared" si="6"/>
        <v>3.5040425053375888</v>
      </c>
    </row>
    <row r="28" spans="1:27" ht="15.75" customHeight="1" x14ac:dyDescent="0.15">
      <c r="A28" s="2">
        <v>45710</v>
      </c>
      <c r="B28" s="3">
        <v>14</v>
      </c>
      <c r="C28" s="3">
        <v>6</v>
      </c>
      <c r="D28" s="16" t="s">
        <v>17</v>
      </c>
      <c r="E28" s="3" t="s">
        <v>32</v>
      </c>
      <c r="F28" s="4">
        <v>1E-4</v>
      </c>
      <c r="G28" s="4">
        <v>1E-4</v>
      </c>
      <c r="H28" s="3">
        <v>3</v>
      </c>
      <c r="I28" s="3" t="s">
        <v>25</v>
      </c>
      <c r="J28" s="16">
        <v>7.91</v>
      </c>
      <c r="K28" s="16">
        <f t="shared" si="4"/>
        <v>3.0058000000000002</v>
      </c>
      <c r="L28" s="16" t="s">
        <v>17</v>
      </c>
      <c r="M28" s="16" t="s">
        <v>17</v>
      </c>
      <c r="O28" s="16">
        <f t="shared" si="5"/>
        <v>1.4352410700020251</v>
      </c>
      <c r="P28" s="16">
        <f t="shared" si="6"/>
        <v>3.5242460760607699</v>
      </c>
    </row>
    <row r="29" spans="1:27" ht="15.75" customHeight="1" x14ac:dyDescent="0.15">
      <c r="A29" s="2">
        <v>45710</v>
      </c>
      <c r="B29" s="3">
        <v>14</v>
      </c>
      <c r="C29" s="3">
        <v>6</v>
      </c>
      <c r="D29" s="16" t="s">
        <v>17</v>
      </c>
      <c r="E29" s="3" t="s">
        <v>29</v>
      </c>
      <c r="F29" s="3">
        <v>10</v>
      </c>
      <c r="G29" s="3">
        <v>100</v>
      </c>
      <c r="H29" s="3">
        <v>1</v>
      </c>
      <c r="I29" s="15" t="s">
        <v>52</v>
      </c>
      <c r="J29" s="16">
        <v>2.79</v>
      </c>
      <c r="K29" s="16">
        <v>2.79</v>
      </c>
      <c r="L29" s="16" t="s">
        <v>17</v>
      </c>
      <c r="M29" s="16" t="s">
        <v>17</v>
      </c>
      <c r="O29" s="16">
        <f t="shared" si="5"/>
        <v>-0.13326653086346424</v>
      </c>
      <c r="P29" s="16">
        <f t="shared" si="6"/>
        <v>1.0208335034171658</v>
      </c>
    </row>
    <row r="30" spans="1:27" ht="15.75" customHeight="1" x14ac:dyDescent="0.15">
      <c r="A30" s="2">
        <v>45710</v>
      </c>
      <c r="B30" s="3">
        <v>14</v>
      </c>
      <c r="C30" s="3">
        <v>6</v>
      </c>
      <c r="D30" s="16" t="s">
        <v>17</v>
      </c>
      <c r="E30" s="3" t="s">
        <v>29</v>
      </c>
      <c r="F30" s="3">
        <v>10</v>
      </c>
      <c r="G30" s="3">
        <v>100</v>
      </c>
      <c r="H30" s="3">
        <v>2</v>
      </c>
      <c r="I30" s="15" t="s">
        <v>52</v>
      </c>
      <c r="J30" s="16">
        <v>3.85</v>
      </c>
      <c r="K30" s="16">
        <v>3.85</v>
      </c>
      <c r="L30" s="16" t="s">
        <v>17</v>
      </c>
      <c r="M30" s="16" t="s">
        <v>17</v>
      </c>
      <c r="O30" s="16">
        <f t="shared" si="5"/>
        <v>0.2917984287029744</v>
      </c>
      <c r="P30" s="16">
        <f t="shared" si="6"/>
        <v>1.4854268271702415</v>
      </c>
    </row>
    <row r="31" spans="1:27" ht="15.75" customHeight="1" x14ac:dyDescent="0.15">
      <c r="A31" s="2">
        <v>45710</v>
      </c>
      <c r="B31" s="3">
        <v>14</v>
      </c>
      <c r="C31" s="3">
        <v>6</v>
      </c>
      <c r="D31" s="16" t="s">
        <v>17</v>
      </c>
      <c r="E31" s="3" t="s">
        <v>29</v>
      </c>
      <c r="F31" s="3">
        <v>10</v>
      </c>
      <c r="G31" s="3">
        <v>100</v>
      </c>
      <c r="H31" s="3">
        <v>3</v>
      </c>
      <c r="I31" s="15" t="s">
        <v>52</v>
      </c>
      <c r="J31" s="16">
        <v>3.4</v>
      </c>
      <c r="K31" s="16">
        <v>3.4</v>
      </c>
      <c r="L31" s="16" t="s">
        <v>17</v>
      </c>
      <c r="M31" s="16" t="s">
        <v>17</v>
      </c>
      <c r="O31" s="16">
        <f t="shared" si="5"/>
        <v>-0.18119611377733258</v>
      </c>
      <c r="P31" s="16">
        <f t="shared" si="6"/>
        <v>1.3061031277256798</v>
      </c>
    </row>
    <row r="32" spans="1:27" ht="15.75" customHeight="1" x14ac:dyDescent="0.15">
      <c r="A32" s="2">
        <v>45710</v>
      </c>
      <c r="B32" s="3">
        <v>14</v>
      </c>
      <c r="C32" s="3">
        <v>6</v>
      </c>
      <c r="D32" s="16" t="s">
        <v>17</v>
      </c>
      <c r="E32" s="3" t="s">
        <v>29</v>
      </c>
      <c r="F32" s="3">
        <v>100</v>
      </c>
      <c r="G32" s="17">
        <v>1000</v>
      </c>
      <c r="H32" s="3">
        <v>1</v>
      </c>
      <c r="I32" s="15" t="s">
        <v>52</v>
      </c>
      <c r="J32" s="16">
        <v>2.8</v>
      </c>
      <c r="K32" s="16">
        <v>2.8</v>
      </c>
      <c r="L32" s="16" t="s">
        <v>17</v>
      </c>
      <c r="M32" s="16" t="s">
        <v>17</v>
      </c>
      <c r="O32" s="16">
        <f t="shared" si="5"/>
        <v>-0.31366047890376203</v>
      </c>
      <c r="P32" s="16">
        <f t="shared" si="6"/>
        <v>2.5995208532944236E-2</v>
      </c>
    </row>
    <row r="33" spans="1:16" ht="15.75" customHeight="1" x14ac:dyDescent="0.15">
      <c r="A33" s="2">
        <v>45710</v>
      </c>
      <c r="B33" s="3">
        <v>14</v>
      </c>
      <c r="C33" s="3">
        <v>6</v>
      </c>
      <c r="D33" s="16" t="s">
        <v>17</v>
      </c>
      <c r="E33" s="3" t="s">
        <v>29</v>
      </c>
      <c r="F33" s="3">
        <v>100</v>
      </c>
      <c r="G33" s="17">
        <v>1000</v>
      </c>
      <c r="H33" s="3">
        <v>2</v>
      </c>
      <c r="I33" s="15" t="s">
        <v>52</v>
      </c>
      <c r="J33" s="16">
        <v>2.11</v>
      </c>
      <c r="K33" s="16">
        <v>2.11</v>
      </c>
      <c r="L33" s="16" t="s">
        <v>17</v>
      </c>
      <c r="M33" s="16" t="s">
        <v>17</v>
      </c>
      <c r="O33" s="16">
        <f t="shared" si="5"/>
        <v>-0.38742526807098382</v>
      </c>
      <c r="P33" s="16">
        <f t="shared" si="6"/>
        <v>-0.3821886197048367</v>
      </c>
    </row>
    <row r="34" spans="1:16" ht="15.75" customHeight="1" x14ac:dyDescent="0.15">
      <c r="A34" s="2">
        <v>45710</v>
      </c>
      <c r="B34" s="3">
        <v>14</v>
      </c>
      <c r="C34" s="3">
        <v>6</v>
      </c>
      <c r="D34" s="16" t="s">
        <v>17</v>
      </c>
      <c r="E34" s="3" t="s">
        <v>29</v>
      </c>
      <c r="F34" s="3">
        <v>100</v>
      </c>
      <c r="G34" s="17">
        <v>1000</v>
      </c>
      <c r="H34" s="3">
        <v>3</v>
      </c>
      <c r="I34" s="15" t="s">
        <v>52</v>
      </c>
      <c r="J34" s="16">
        <v>3.01</v>
      </c>
      <c r="K34" s="16">
        <v>3.01</v>
      </c>
      <c r="L34" s="16" t="s">
        <v>17</v>
      </c>
      <c r="M34" s="16" t="s">
        <v>17</v>
      </c>
      <c r="O34" s="16">
        <f t="shared" si="5"/>
        <v>-0.67926965947025986</v>
      </c>
      <c r="P34" s="16">
        <f t="shared" si="6"/>
        <v>0.13033186834768007</v>
      </c>
    </row>
    <row r="35" spans="1:16" ht="15.75" customHeight="1" x14ac:dyDescent="0.15">
      <c r="A35" s="2">
        <v>45713</v>
      </c>
      <c r="B35" s="3">
        <v>17</v>
      </c>
      <c r="C35" s="3">
        <v>9</v>
      </c>
      <c r="D35" s="16" t="s">
        <v>17</v>
      </c>
      <c r="E35" s="3" t="s">
        <v>32</v>
      </c>
      <c r="F35" s="4">
        <v>1E-4</v>
      </c>
      <c r="G35" s="4">
        <v>1E-4</v>
      </c>
      <c r="H35" s="3">
        <v>1</v>
      </c>
      <c r="I35" s="3" t="s">
        <v>25</v>
      </c>
      <c r="J35" s="16">
        <v>10.7</v>
      </c>
      <c r="K35" s="16">
        <f t="shared" ref="K35:K37" si="7">J35*0.31</f>
        <v>3.3169999999999997</v>
      </c>
      <c r="L35" s="16" t="s">
        <v>17</v>
      </c>
      <c r="M35" s="16" t="s">
        <v>17</v>
      </c>
      <c r="N35" s="18" t="s">
        <v>65</v>
      </c>
      <c r="O35" s="16">
        <f t="shared" si="5"/>
        <v>1.7658368001203233</v>
      </c>
      <c r="P35" s="16">
        <f t="shared" si="6"/>
        <v>5.3560359492076266</v>
      </c>
    </row>
    <row r="36" spans="1:16" ht="15.75" customHeight="1" x14ac:dyDescent="0.15">
      <c r="A36" s="2">
        <v>45713</v>
      </c>
      <c r="B36" s="3">
        <v>17</v>
      </c>
      <c r="C36" s="3">
        <v>9</v>
      </c>
      <c r="D36" s="16" t="s">
        <v>17</v>
      </c>
      <c r="E36" s="3" t="s">
        <v>32</v>
      </c>
      <c r="F36" s="4">
        <v>1E-4</v>
      </c>
      <c r="G36" s="4">
        <v>1E-4</v>
      </c>
      <c r="H36" s="3">
        <v>2</v>
      </c>
      <c r="I36" s="3" t="s">
        <v>25</v>
      </c>
      <c r="J36" s="16">
        <v>9.6</v>
      </c>
      <c r="K36" s="16">
        <f t="shared" si="7"/>
        <v>2.976</v>
      </c>
      <c r="L36" s="16" t="s">
        <v>17</v>
      </c>
      <c r="M36" s="16" t="s">
        <v>17</v>
      </c>
      <c r="N36" s="18" t="s">
        <v>66</v>
      </c>
      <c r="O36" s="16">
        <f t="shared" si="5"/>
        <v>1.6954889581900472</v>
      </c>
      <c r="P36" s="16">
        <f t="shared" si="6"/>
        <v>5.1995314635276362</v>
      </c>
    </row>
    <row r="37" spans="1:16" ht="15.75" customHeight="1" x14ac:dyDescent="0.15">
      <c r="A37" s="2">
        <v>45713</v>
      </c>
      <c r="B37" s="3">
        <v>17</v>
      </c>
      <c r="C37" s="3">
        <v>9</v>
      </c>
      <c r="D37" s="16" t="s">
        <v>17</v>
      </c>
      <c r="E37" s="3" t="s">
        <v>32</v>
      </c>
      <c r="F37" s="4">
        <v>1E-4</v>
      </c>
      <c r="G37" s="4">
        <v>1E-4</v>
      </c>
      <c r="H37" s="3">
        <v>3</v>
      </c>
      <c r="I37" s="3" t="s">
        <v>25</v>
      </c>
      <c r="J37" s="16">
        <v>10.199999999999999</v>
      </c>
      <c r="K37" s="16">
        <f t="shared" si="7"/>
        <v>3.1619999999999999</v>
      </c>
      <c r="L37" s="16" t="s">
        <v>17</v>
      </c>
      <c r="M37" s="16" t="s">
        <v>17</v>
      </c>
      <c r="N37" s="16" t="s">
        <v>67</v>
      </c>
      <c r="O37" s="16">
        <f t="shared" si="5"/>
        <v>1.7627482287172049</v>
      </c>
      <c r="P37" s="16">
        <f t="shared" si="6"/>
        <v>5.2869943047779753</v>
      </c>
    </row>
    <row r="38" spans="1:16" ht="15.75" customHeight="1" x14ac:dyDescent="0.15">
      <c r="A38" s="2">
        <v>45713</v>
      </c>
      <c r="B38" s="3">
        <v>17</v>
      </c>
      <c r="C38" s="3">
        <v>9</v>
      </c>
      <c r="D38" s="16" t="s">
        <v>17</v>
      </c>
      <c r="E38" s="3" t="s">
        <v>29</v>
      </c>
      <c r="F38" s="3">
        <v>10</v>
      </c>
      <c r="G38" s="3">
        <v>100</v>
      </c>
      <c r="H38" s="3">
        <v>1</v>
      </c>
      <c r="I38" s="15" t="s">
        <v>52</v>
      </c>
      <c r="J38" s="16" t="s">
        <v>17</v>
      </c>
      <c r="K38" s="16" t="s">
        <v>17</v>
      </c>
      <c r="L38" s="16" t="s">
        <v>17</v>
      </c>
      <c r="M38" s="16" t="s">
        <v>17</v>
      </c>
      <c r="O38" s="16">
        <v>0</v>
      </c>
      <c r="P38" s="16">
        <f t="shared" si="6"/>
        <v>1.0208335034171658</v>
      </c>
    </row>
    <row r="39" spans="1:16" ht="15.75" customHeight="1" x14ac:dyDescent="0.15">
      <c r="A39" s="2">
        <v>45713</v>
      </c>
      <c r="B39" s="3">
        <v>17</v>
      </c>
      <c r="C39" s="3">
        <v>9</v>
      </c>
      <c r="D39" s="16" t="s">
        <v>17</v>
      </c>
      <c r="E39" s="3" t="s">
        <v>29</v>
      </c>
      <c r="F39" s="3">
        <v>10</v>
      </c>
      <c r="G39" s="3">
        <v>100</v>
      </c>
      <c r="H39" s="3">
        <v>2</v>
      </c>
      <c r="I39" s="15" t="s">
        <v>52</v>
      </c>
      <c r="J39" s="16" t="s">
        <v>17</v>
      </c>
      <c r="K39" s="16" t="s">
        <v>17</v>
      </c>
      <c r="L39" s="16" t="s">
        <v>17</v>
      </c>
      <c r="M39" s="16" t="s">
        <v>17</v>
      </c>
      <c r="O39" s="16">
        <v>0</v>
      </c>
      <c r="P39" s="16">
        <f t="shared" si="6"/>
        <v>1.4854268271702415</v>
      </c>
    </row>
    <row r="40" spans="1:16" ht="15.75" customHeight="1" x14ac:dyDescent="0.15">
      <c r="A40" s="2">
        <v>45713</v>
      </c>
      <c r="B40" s="3">
        <v>17</v>
      </c>
      <c r="C40" s="3">
        <v>9</v>
      </c>
      <c r="D40" s="16" t="s">
        <v>17</v>
      </c>
      <c r="E40" s="3" t="s">
        <v>29</v>
      </c>
      <c r="F40" s="3">
        <v>10</v>
      </c>
      <c r="G40" s="3">
        <v>100</v>
      </c>
      <c r="H40" s="3">
        <v>3</v>
      </c>
      <c r="I40" s="15" t="s">
        <v>52</v>
      </c>
      <c r="J40" s="16" t="s">
        <v>17</v>
      </c>
      <c r="K40" s="16" t="s">
        <v>17</v>
      </c>
      <c r="L40" s="16" t="s">
        <v>17</v>
      </c>
      <c r="M40" s="16" t="s">
        <v>17</v>
      </c>
      <c r="O40" s="16">
        <v>0</v>
      </c>
      <c r="P40" s="16">
        <f t="shared" si="6"/>
        <v>1.3061031277256798</v>
      </c>
    </row>
    <row r="41" spans="1:16" ht="15.75" customHeight="1" x14ac:dyDescent="0.15">
      <c r="A41" s="2">
        <v>45713</v>
      </c>
      <c r="B41" s="3">
        <v>17</v>
      </c>
      <c r="C41" s="3">
        <v>9</v>
      </c>
      <c r="D41" s="16" t="s">
        <v>17</v>
      </c>
      <c r="E41" s="3" t="s">
        <v>29</v>
      </c>
      <c r="F41" s="3">
        <v>100</v>
      </c>
      <c r="G41" s="17">
        <v>1000</v>
      </c>
      <c r="H41" s="3">
        <v>1</v>
      </c>
      <c r="I41" s="15" t="s">
        <v>52</v>
      </c>
      <c r="J41" s="16" t="s">
        <v>17</v>
      </c>
      <c r="K41" s="16" t="s">
        <v>17</v>
      </c>
      <c r="L41" s="16" t="s">
        <v>17</v>
      </c>
      <c r="M41" s="16" t="s">
        <v>17</v>
      </c>
      <c r="O41" s="16">
        <v>0</v>
      </c>
      <c r="P41" s="16">
        <f t="shared" si="6"/>
        <v>2.5995208532944236E-2</v>
      </c>
    </row>
    <row r="42" spans="1:16" ht="15.75" customHeight="1" x14ac:dyDescent="0.15">
      <c r="A42" s="2">
        <v>45713</v>
      </c>
      <c r="B42" s="3">
        <v>17</v>
      </c>
      <c r="C42" s="3">
        <v>9</v>
      </c>
      <c r="D42" s="16" t="s">
        <v>17</v>
      </c>
      <c r="E42" s="3" t="s">
        <v>29</v>
      </c>
      <c r="F42" s="3">
        <v>100</v>
      </c>
      <c r="G42" s="17">
        <v>1000</v>
      </c>
      <c r="H42" s="3">
        <v>2</v>
      </c>
      <c r="I42" s="15" t="s">
        <v>52</v>
      </c>
      <c r="J42" s="16" t="s">
        <v>17</v>
      </c>
      <c r="K42" s="16" t="s">
        <v>17</v>
      </c>
      <c r="L42" s="16" t="s">
        <v>17</v>
      </c>
      <c r="M42" s="16" t="s">
        <v>17</v>
      </c>
      <c r="O42" s="16">
        <v>0</v>
      </c>
      <c r="P42" s="16">
        <f t="shared" si="6"/>
        <v>-0.3821886197048367</v>
      </c>
    </row>
    <row r="43" spans="1:16" ht="15.75" customHeight="1" x14ac:dyDescent="0.15">
      <c r="A43" s="2">
        <v>45713</v>
      </c>
      <c r="B43" s="3">
        <v>17</v>
      </c>
      <c r="C43" s="3">
        <v>9</v>
      </c>
      <c r="D43" s="16" t="s">
        <v>17</v>
      </c>
      <c r="E43" s="3" t="s">
        <v>29</v>
      </c>
      <c r="F43" s="3">
        <v>100</v>
      </c>
      <c r="G43" s="17">
        <v>1000</v>
      </c>
      <c r="H43" s="3">
        <v>3</v>
      </c>
      <c r="I43" s="15" t="s">
        <v>52</v>
      </c>
      <c r="J43" s="16" t="s">
        <v>17</v>
      </c>
      <c r="K43" s="16" t="s">
        <v>17</v>
      </c>
      <c r="L43" s="16" t="s">
        <v>17</v>
      </c>
      <c r="M43" s="16" t="s">
        <v>17</v>
      </c>
      <c r="O43" s="16">
        <v>0</v>
      </c>
      <c r="P43" s="16">
        <f t="shared" si="6"/>
        <v>0.13033186834768007</v>
      </c>
    </row>
    <row r="44" spans="1:16" ht="15.75" customHeight="1" x14ac:dyDescent="0.15">
      <c r="A44" s="19">
        <v>45716</v>
      </c>
      <c r="B44" s="16">
        <v>20</v>
      </c>
      <c r="C44" s="16">
        <v>12</v>
      </c>
      <c r="D44" s="16" t="s">
        <v>17</v>
      </c>
      <c r="E44" s="3" t="s">
        <v>32</v>
      </c>
      <c r="F44" s="4">
        <v>1E-4</v>
      </c>
      <c r="G44" s="4">
        <v>1E-4</v>
      </c>
      <c r="H44" s="3">
        <v>1</v>
      </c>
      <c r="I44" s="3" t="s">
        <v>25</v>
      </c>
      <c r="J44" s="20">
        <v>7.13</v>
      </c>
      <c r="K44" s="16">
        <f t="shared" ref="K44:K46" si="8">J44*0.385</f>
        <v>2.74505</v>
      </c>
      <c r="L44" s="16" t="s">
        <v>17</v>
      </c>
      <c r="M44" s="16" t="s">
        <v>17</v>
      </c>
      <c r="O44" s="16">
        <f t="shared" ref="O44:O46" si="9">LOG(J44/K35,2)</f>
        <v>1.1040230645432283</v>
      </c>
      <c r="P44" s="16">
        <f t="shared" si="6"/>
        <v>6.4600590137508549</v>
      </c>
    </row>
    <row r="45" spans="1:16" ht="15.75" customHeight="1" x14ac:dyDescent="0.15">
      <c r="A45" s="19">
        <v>45716</v>
      </c>
      <c r="B45" s="16">
        <v>20</v>
      </c>
      <c r="C45" s="16">
        <v>12</v>
      </c>
      <c r="D45" s="16" t="s">
        <v>17</v>
      </c>
      <c r="E45" s="3" t="s">
        <v>32</v>
      </c>
      <c r="F45" s="4">
        <v>1E-4</v>
      </c>
      <c r="G45" s="4">
        <v>1E-4</v>
      </c>
      <c r="H45" s="3">
        <v>2</v>
      </c>
      <c r="I45" s="3" t="s">
        <v>25</v>
      </c>
      <c r="J45" s="20">
        <v>8.7200000000000006</v>
      </c>
      <c r="K45" s="16">
        <f t="shared" si="8"/>
        <v>3.3572000000000002</v>
      </c>
      <c r="L45" s="16" t="s">
        <v>17</v>
      </c>
      <c r="M45" s="16" t="s">
        <v>17</v>
      </c>
      <c r="O45" s="16">
        <f t="shared" si="9"/>
        <v>1.5509536085562576</v>
      </c>
      <c r="P45" s="16">
        <f t="shared" si="6"/>
        <v>6.7504850720838938</v>
      </c>
    </row>
    <row r="46" spans="1:16" ht="15.75" customHeight="1" x14ac:dyDescent="0.15">
      <c r="A46" s="19">
        <v>45716</v>
      </c>
      <c r="B46" s="16">
        <v>20</v>
      </c>
      <c r="C46" s="16">
        <v>12</v>
      </c>
      <c r="D46" s="16" t="s">
        <v>17</v>
      </c>
      <c r="E46" s="3" t="s">
        <v>32</v>
      </c>
      <c r="F46" s="4">
        <v>1E-4</v>
      </c>
      <c r="G46" s="4">
        <v>1E-4</v>
      </c>
      <c r="H46" s="3">
        <v>3</v>
      </c>
      <c r="I46" s="3" t="s">
        <v>25</v>
      </c>
      <c r="J46" s="20">
        <v>8.36</v>
      </c>
      <c r="K46" s="16">
        <f t="shared" si="8"/>
        <v>3.2185999999999999</v>
      </c>
      <c r="L46" s="16" t="s">
        <v>17</v>
      </c>
      <c r="M46" s="16" t="s">
        <v>17</v>
      </c>
      <c r="O46" s="16">
        <f t="shared" si="9"/>
        <v>1.4026655746098742</v>
      </c>
      <c r="P46" s="16">
        <f t="shared" si="6"/>
        <v>6.6896598793878495</v>
      </c>
    </row>
    <row r="47" spans="1:16" ht="15.75" customHeight="1" x14ac:dyDescent="0.15">
      <c r="A47" s="19">
        <v>45716</v>
      </c>
      <c r="B47" s="16">
        <v>20</v>
      </c>
      <c r="C47" s="16">
        <v>12</v>
      </c>
      <c r="D47" s="16" t="s">
        <v>17</v>
      </c>
      <c r="E47" s="3" t="s">
        <v>29</v>
      </c>
      <c r="F47" s="3">
        <v>10</v>
      </c>
      <c r="G47" s="3">
        <v>100</v>
      </c>
      <c r="H47" s="3">
        <v>1</v>
      </c>
      <c r="I47" s="15" t="s">
        <v>52</v>
      </c>
      <c r="J47" s="16">
        <v>2.83</v>
      </c>
      <c r="K47" s="16">
        <v>2.83</v>
      </c>
      <c r="L47" s="16" t="s">
        <v>17</v>
      </c>
      <c r="M47" s="16" t="s">
        <v>17</v>
      </c>
      <c r="O47" s="16">
        <f t="shared" ref="O47:O52" si="10">LOG(J47/K29,2)</f>
        <v>2.0536931002694627E-2</v>
      </c>
      <c r="P47" s="16">
        <f t="shared" si="6"/>
        <v>1.0413704344198604</v>
      </c>
    </row>
    <row r="48" spans="1:16" ht="15.75" customHeight="1" x14ac:dyDescent="0.15">
      <c r="A48" s="19">
        <v>45716</v>
      </c>
      <c r="B48" s="16">
        <v>20</v>
      </c>
      <c r="C48" s="16">
        <v>12</v>
      </c>
      <c r="D48" s="16" t="s">
        <v>17</v>
      </c>
      <c r="E48" s="3" t="s">
        <v>29</v>
      </c>
      <c r="F48" s="3">
        <v>10</v>
      </c>
      <c r="G48" s="3">
        <v>100</v>
      </c>
      <c r="H48" s="3">
        <v>2</v>
      </c>
      <c r="I48" s="15" t="s">
        <v>52</v>
      </c>
      <c r="J48" s="16">
        <v>3.37</v>
      </c>
      <c r="K48" s="16">
        <v>3.37</v>
      </c>
      <c r="L48" s="16" t="s">
        <v>17</v>
      </c>
      <c r="M48" s="16" t="s">
        <v>17</v>
      </c>
      <c r="O48" s="16">
        <f t="shared" si="10"/>
        <v>-0.19210985440040534</v>
      </c>
      <c r="P48" s="16">
        <f t="shared" si="6"/>
        <v>1.2933169727698361</v>
      </c>
    </row>
    <row r="49" spans="1:16" ht="15.75" customHeight="1" x14ac:dyDescent="0.15">
      <c r="A49" s="19">
        <v>45716</v>
      </c>
      <c r="B49" s="16">
        <v>20</v>
      </c>
      <c r="C49" s="16">
        <v>12</v>
      </c>
      <c r="D49" s="16" t="s">
        <v>17</v>
      </c>
      <c r="E49" s="3" t="s">
        <v>29</v>
      </c>
      <c r="F49" s="3">
        <v>10</v>
      </c>
      <c r="G49" s="3">
        <v>100</v>
      </c>
      <c r="H49" s="3">
        <v>3</v>
      </c>
      <c r="I49" s="15" t="s">
        <v>52</v>
      </c>
      <c r="J49" s="16">
        <v>3.24</v>
      </c>
      <c r="K49" s="16">
        <v>3.24</v>
      </c>
      <c r="L49" s="16" t="s">
        <v>17</v>
      </c>
      <c r="M49" s="16" t="s">
        <v>17</v>
      </c>
      <c r="O49" s="16">
        <f t="shared" si="10"/>
        <v>-6.9540933253076948E-2</v>
      </c>
      <c r="P49" s="16">
        <f t="shared" si="6"/>
        <v>1.2365621944726028</v>
      </c>
    </row>
    <row r="50" spans="1:16" ht="15.75" customHeight="1" x14ac:dyDescent="0.15">
      <c r="A50" s="19">
        <v>45716</v>
      </c>
      <c r="B50" s="16">
        <v>20</v>
      </c>
      <c r="C50" s="16">
        <v>12</v>
      </c>
      <c r="D50" s="16" t="s">
        <v>17</v>
      </c>
      <c r="E50" s="3" t="s">
        <v>29</v>
      </c>
      <c r="F50" s="3">
        <v>100</v>
      </c>
      <c r="G50" s="3">
        <v>0</v>
      </c>
      <c r="H50" s="3">
        <v>1</v>
      </c>
      <c r="I50" s="15" t="s">
        <v>52</v>
      </c>
      <c r="J50" s="16">
        <v>1.8</v>
      </c>
      <c r="K50" s="16">
        <v>1.8</v>
      </c>
      <c r="L50" s="16" t="s">
        <v>17</v>
      </c>
      <c r="M50" s="16" t="s">
        <v>17</v>
      </c>
      <c r="N50" s="16" t="s">
        <v>68</v>
      </c>
      <c r="O50" s="16">
        <f t="shared" si="10"/>
        <v>-0.63742992061529169</v>
      </c>
      <c r="P50" s="16">
        <f t="shared" si="6"/>
        <v>-0.61143471208234745</v>
      </c>
    </row>
    <row r="51" spans="1:16" ht="14" x14ac:dyDescent="0.15">
      <c r="A51" s="19">
        <v>45716</v>
      </c>
      <c r="B51" s="16">
        <v>20</v>
      </c>
      <c r="C51" s="16">
        <v>12</v>
      </c>
      <c r="D51" s="16" t="s">
        <v>17</v>
      </c>
      <c r="E51" s="3" t="s">
        <v>29</v>
      </c>
      <c r="F51" s="3">
        <v>100</v>
      </c>
      <c r="G51" s="3">
        <v>0</v>
      </c>
      <c r="H51" s="3">
        <v>2</v>
      </c>
      <c r="I51" s="15" t="s">
        <v>52</v>
      </c>
      <c r="J51" s="16">
        <v>1.44</v>
      </c>
      <c r="K51" s="16">
        <v>1.44</v>
      </c>
      <c r="L51" s="16" t="s">
        <v>17</v>
      </c>
      <c r="M51" s="16" t="s">
        <v>17</v>
      </c>
      <c r="N51" s="16" t="s">
        <v>68</v>
      </c>
      <c r="O51" s="16">
        <f t="shared" si="10"/>
        <v>-0.55117418726487266</v>
      </c>
      <c r="P51" s="16">
        <f t="shared" si="6"/>
        <v>-0.9333628069697093</v>
      </c>
    </row>
    <row r="52" spans="1:16" ht="14" x14ac:dyDescent="0.15">
      <c r="A52" s="19">
        <v>45716</v>
      </c>
      <c r="B52" s="16">
        <v>20</v>
      </c>
      <c r="C52" s="16">
        <v>12</v>
      </c>
      <c r="D52" s="16" t="s">
        <v>17</v>
      </c>
      <c r="E52" s="3" t="s">
        <v>29</v>
      </c>
      <c r="F52" s="3">
        <v>100</v>
      </c>
      <c r="G52" s="3">
        <v>0</v>
      </c>
      <c r="H52" s="3">
        <v>3</v>
      </c>
      <c r="I52" s="15" t="s">
        <v>52</v>
      </c>
      <c r="J52" s="16">
        <v>1.94</v>
      </c>
      <c r="K52" s="16">
        <v>1.94</v>
      </c>
      <c r="L52" s="16" t="s">
        <v>17</v>
      </c>
      <c r="M52" s="16" t="s">
        <v>17</v>
      </c>
      <c r="N52" s="16" t="s">
        <v>68</v>
      </c>
      <c r="O52" s="16">
        <f t="shared" si="10"/>
        <v>-0.63370683457257437</v>
      </c>
      <c r="P52" s="16">
        <f t="shared" si="6"/>
        <v>-0.5033749662248943</v>
      </c>
    </row>
    <row r="53" spans="1:16" ht="14" x14ac:dyDescent="0.15">
      <c r="A53" s="19">
        <v>45719</v>
      </c>
      <c r="B53" s="16">
        <v>23</v>
      </c>
      <c r="C53" s="16">
        <v>15</v>
      </c>
      <c r="D53" s="16" t="s">
        <v>17</v>
      </c>
      <c r="E53" s="3" t="s">
        <v>32</v>
      </c>
      <c r="F53" s="4">
        <v>1E-4</v>
      </c>
      <c r="G53" s="4">
        <v>1E-4</v>
      </c>
      <c r="H53" s="3">
        <v>1</v>
      </c>
      <c r="I53" s="3" t="s">
        <v>25</v>
      </c>
      <c r="J53" s="16">
        <v>10.199999999999999</v>
      </c>
      <c r="K53" s="16">
        <f t="shared" ref="K53:K55" si="11">J53*0.305</f>
        <v>3.1109999999999998</v>
      </c>
      <c r="L53" s="16">
        <v>1</v>
      </c>
      <c r="M53" s="16">
        <v>3.1109999999999998</v>
      </c>
      <c r="O53" s="16">
        <f t="shared" ref="O53:O55" si="12">LOG(J53/K44,2)</f>
        <v>1.8936648194947934</v>
      </c>
      <c r="P53" s="16">
        <f t="shared" si="6"/>
        <v>8.3537238332456489</v>
      </c>
    </row>
    <row r="54" spans="1:16" ht="14" x14ac:dyDescent="0.15">
      <c r="A54" s="19">
        <v>45719</v>
      </c>
      <c r="B54" s="16">
        <v>23</v>
      </c>
      <c r="C54" s="16">
        <v>15</v>
      </c>
      <c r="D54" s="16" t="s">
        <v>17</v>
      </c>
      <c r="E54" s="3" t="s">
        <v>32</v>
      </c>
      <c r="F54" s="4">
        <v>1E-4</v>
      </c>
      <c r="G54" s="4">
        <v>1E-4</v>
      </c>
      <c r="H54" s="3">
        <v>2</v>
      </c>
      <c r="I54" s="3" t="s">
        <v>25</v>
      </c>
      <c r="J54" s="16">
        <v>9.4499999999999993</v>
      </c>
      <c r="K54" s="16">
        <f t="shared" si="11"/>
        <v>2.8822499999999995</v>
      </c>
      <c r="L54" s="16">
        <v>1</v>
      </c>
      <c r="M54" s="16">
        <v>2.8822499999999995</v>
      </c>
      <c r="O54" s="16">
        <f t="shared" si="12"/>
        <v>1.4930558434113319</v>
      </c>
      <c r="P54" s="16">
        <f t="shared" si="6"/>
        <v>8.2435409154952257</v>
      </c>
    </row>
    <row r="55" spans="1:16" ht="14" x14ac:dyDescent="0.15">
      <c r="A55" s="19">
        <v>45719</v>
      </c>
      <c r="B55" s="16">
        <v>23</v>
      </c>
      <c r="C55" s="16">
        <v>15</v>
      </c>
      <c r="D55" s="16" t="s">
        <v>17</v>
      </c>
      <c r="E55" s="3" t="s">
        <v>32</v>
      </c>
      <c r="F55" s="4">
        <v>1E-4</v>
      </c>
      <c r="G55" s="4">
        <v>1E-4</v>
      </c>
      <c r="H55" s="3">
        <v>3</v>
      </c>
      <c r="I55" s="3" t="s">
        <v>25</v>
      </c>
      <c r="J55" s="16">
        <v>10.1</v>
      </c>
      <c r="K55" s="16">
        <f t="shared" si="11"/>
        <v>3.0804999999999998</v>
      </c>
      <c r="L55" s="16">
        <v>1</v>
      </c>
      <c r="M55" s="16">
        <v>3.0804999999999998</v>
      </c>
      <c r="O55" s="16">
        <f t="shared" si="12"/>
        <v>1.6498500946380976</v>
      </c>
      <c r="P55" s="16">
        <f t="shared" si="6"/>
        <v>8.3395099740259475</v>
      </c>
    </row>
    <row r="56" spans="1:16" ht="14" x14ac:dyDescent="0.15">
      <c r="A56" s="19">
        <v>45719</v>
      </c>
      <c r="B56" s="16">
        <v>23</v>
      </c>
      <c r="C56" s="16">
        <v>15</v>
      </c>
      <c r="D56" s="16" t="s">
        <v>17</v>
      </c>
      <c r="E56" s="3" t="s">
        <v>29</v>
      </c>
      <c r="F56" s="3">
        <v>10</v>
      </c>
      <c r="G56" s="3">
        <v>100</v>
      </c>
      <c r="H56" s="3">
        <v>1</v>
      </c>
      <c r="I56" s="15" t="s">
        <v>52</v>
      </c>
      <c r="J56" s="16" t="s">
        <v>17</v>
      </c>
      <c r="K56" s="16" t="s">
        <v>17</v>
      </c>
      <c r="L56" s="16" t="s">
        <v>17</v>
      </c>
      <c r="M56" s="16" t="s">
        <v>17</v>
      </c>
      <c r="N56" s="16" t="s">
        <v>69</v>
      </c>
      <c r="O56" s="16">
        <v>0</v>
      </c>
      <c r="P56" s="16">
        <f t="shared" si="6"/>
        <v>1.0413704344198604</v>
      </c>
    </row>
    <row r="57" spans="1:16" ht="14" x14ac:dyDescent="0.15">
      <c r="A57" s="19">
        <v>45719</v>
      </c>
      <c r="B57" s="16">
        <v>23</v>
      </c>
      <c r="C57" s="16">
        <v>15</v>
      </c>
      <c r="D57" s="16" t="s">
        <v>17</v>
      </c>
      <c r="E57" s="3" t="s">
        <v>29</v>
      </c>
      <c r="F57" s="3">
        <v>10</v>
      </c>
      <c r="G57" s="3">
        <v>100</v>
      </c>
      <c r="H57" s="3">
        <v>2</v>
      </c>
      <c r="I57" s="15" t="s">
        <v>52</v>
      </c>
      <c r="J57" s="16" t="s">
        <v>17</v>
      </c>
      <c r="K57" s="16" t="s">
        <v>17</v>
      </c>
      <c r="L57" s="16" t="s">
        <v>17</v>
      </c>
      <c r="M57" s="16" t="s">
        <v>17</v>
      </c>
      <c r="O57" s="16">
        <v>0</v>
      </c>
      <c r="P57" s="16">
        <f t="shared" si="6"/>
        <v>1.2933169727698361</v>
      </c>
    </row>
    <row r="58" spans="1:16" ht="14" x14ac:dyDescent="0.15">
      <c r="A58" s="19">
        <v>45719</v>
      </c>
      <c r="B58" s="16">
        <v>23</v>
      </c>
      <c r="C58" s="16">
        <v>15</v>
      </c>
      <c r="D58" s="16" t="s">
        <v>17</v>
      </c>
      <c r="E58" s="3" t="s">
        <v>29</v>
      </c>
      <c r="F58" s="3">
        <v>10</v>
      </c>
      <c r="G58" s="3">
        <v>100</v>
      </c>
      <c r="H58" s="3">
        <v>3</v>
      </c>
      <c r="I58" s="15" t="s">
        <v>52</v>
      </c>
      <c r="J58" s="16" t="s">
        <v>17</v>
      </c>
      <c r="K58" s="16" t="s">
        <v>17</v>
      </c>
      <c r="L58" s="16" t="s">
        <v>17</v>
      </c>
      <c r="M58" s="16" t="s">
        <v>17</v>
      </c>
      <c r="O58" s="16">
        <v>0</v>
      </c>
      <c r="P58" s="16">
        <f t="shared" si="6"/>
        <v>1.2365621944726028</v>
      </c>
    </row>
    <row r="59" spans="1:16" ht="14" x14ac:dyDescent="0.15">
      <c r="A59" s="19">
        <v>45719</v>
      </c>
      <c r="B59" s="16">
        <v>23</v>
      </c>
      <c r="C59" s="16">
        <v>15</v>
      </c>
      <c r="D59" s="16" t="s">
        <v>17</v>
      </c>
      <c r="E59" s="3" t="s">
        <v>29</v>
      </c>
      <c r="F59" s="3">
        <v>100</v>
      </c>
      <c r="G59" s="3">
        <v>0</v>
      </c>
      <c r="H59" s="3">
        <v>1</v>
      </c>
      <c r="I59" s="15" t="s">
        <v>52</v>
      </c>
      <c r="J59" s="16" t="s">
        <v>17</v>
      </c>
      <c r="K59" s="16" t="s">
        <v>17</v>
      </c>
      <c r="L59" s="16" t="s">
        <v>17</v>
      </c>
      <c r="M59" s="16" t="s">
        <v>17</v>
      </c>
      <c r="O59" s="16">
        <v>0</v>
      </c>
      <c r="P59" s="16">
        <f t="shared" si="6"/>
        <v>-0.61143471208234745</v>
      </c>
    </row>
    <row r="60" spans="1:16" ht="14" x14ac:dyDescent="0.15">
      <c r="A60" s="19">
        <v>45719</v>
      </c>
      <c r="B60" s="16">
        <v>23</v>
      </c>
      <c r="C60" s="16">
        <v>15</v>
      </c>
      <c r="D60" s="16" t="s">
        <v>17</v>
      </c>
      <c r="E60" s="3" t="s">
        <v>29</v>
      </c>
      <c r="F60" s="3">
        <v>100</v>
      </c>
      <c r="G60" s="3">
        <v>0</v>
      </c>
      <c r="H60" s="3">
        <v>2</v>
      </c>
      <c r="I60" s="15" t="s">
        <v>52</v>
      </c>
      <c r="J60" s="16" t="s">
        <v>17</v>
      </c>
      <c r="K60" s="16" t="s">
        <v>17</v>
      </c>
      <c r="L60" s="16" t="s">
        <v>17</v>
      </c>
      <c r="M60" s="16" t="s">
        <v>17</v>
      </c>
      <c r="O60" s="16">
        <v>0</v>
      </c>
      <c r="P60" s="16">
        <f t="shared" si="6"/>
        <v>-0.9333628069697093</v>
      </c>
    </row>
    <row r="61" spans="1:16" ht="14" x14ac:dyDescent="0.15">
      <c r="A61" s="19">
        <v>45719</v>
      </c>
      <c r="B61" s="16">
        <v>23</v>
      </c>
      <c r="C61" s="16">
        <v>15</v>
      </c>
      <c r="D61" s="16" t="s">
        <v>17</v>
      </c>
      <c r="E61" s="3" t="s">
        <v>29</v>
      </c>
      <c r="F61" s="3">
        <v>100</v>
      </c>
      <c r="G61" s="3">
        <v>0</v>
      </c>
      <c r="H61" s="3">
        <v>3</v>
      </c>
      <c r="I61" s="15" t="s">
        <v>52</v>
      </c>
      <c r="J61" s="16" t="s">
        <v>17</v>
      </c>
      <c r="K61" s="16" t="s">
        <v>17</v>
      </c>
      <c r="L61" s="16" t="s">
        <v>17</v>
      </c>
      <c r="M61" s="16" t="s">
        <v>17</v>
      </c>
      <c r="O61" s="16">
        <v>0</v>
      </c>
      <c r="P61" s="16">
        <f t="shared" si="6"/>
        <v>-0.5033749662248943</v>
      </c>
    </row>
    <row r="62" spans="1:16" ht="14" x14ac:dyDescent="0.15">
      <c r="A62" s="19">
        <v>45722</v>
      </c>
      <c r="B62" s="16">
        <v>26</v>
      </c>
      <c r="C62" s="16">
        <v>18</v>
      </c>
      <c r="D62" s="16" t="s">
        <v>17</v>
      </c>
      <c r="E62" s="3" t="s">
        <v>32</v>
      </c>
      <c r="F62" s="4">
        <v>1E-4</v>
      </c>
      <c r="G62" s="4">
        <v>1E-4</v>
      </c>
      <c r="H62" s="3">
        <v>1</v>
      </c>
      <c r="I62" s="3" t="s">
        <v>25</v>
      </c>
      <c r="J62" s="16">
        <v>9.98</v>
      </c>
      <c r="K62" s="16">
        <f t="shared" ref="K62:K64" si="13">J62*0.36</f>
        <v>3.5928</v>
      </c>
      <c r="L62" s="16">
        <v>1</v>
      </c>
      <c r="M62" s="16">
        <v>3.5928</v>
      </c>
      <c r="O62" s="16">
        <f t="shared" ref="O62:O64" si="14">LOG(J62/K53,2)</f>
        <v>1.6816614206902414</v>
      </c>
      <c r="P62" s="16">
        <f t="shared" si="6"/>
        <v>10.035385253935891</v>
      </c>
    </row>
    <row r="63" spans="1:16" ht="14" x14ac:dyDescent="0.15">
      <c r="A63" s="19">
        <v>45722</v>
      </c>
      <c r="B63" s="16">
        <v>26</v>
      </c>
      <c r="C63" s="16">
        <v>18</v>
      </c>
      <c r="D63" s="16" t="s">
        <v>17</v>
      </c>
      <c r="E63" s="3" t="s">
        <v>32</v>
      </c>
      <c r="F63" s="4">
        <v>1E-4</v>
      </c>
      <c r="G63" s="4">
        <v>1E-4</v>
      </c>
      <c r="H63" s="3">
        <v>2</v>
      </c>
      <c r="I63" s="3" t="s">
        <v>25</v>
      </c>
      <c r="J63" s="16">
        <v>8.66</v>
      </c>
      <c r="K63" s="16">
        <f t="shared" si="13"/>
        <v>3.1175999999999999</v>
      </c>
      <c r="L63" s="16">
        <v>1</v>
      </c>
      <c r="M63" s="16">
        <v>3.1175999999999999</v>
      </c>
      <c r="O63" s="16">
        <f t="shared" si="14"/>
        <v>1.5871715478301287</v>
      </c>
      <c r="P63" s="16">
        <f t="shared" si="6"/>
        <v>9.8307124633253551</v>
      </c>
    </row>
    <row r="64" spans="1:16" ht="14" x14ac:dyDescent="0.15">
      <c r="A64" s="19">
        <v>45722</v>
      </c>
      <c r="B64" s="16">
        <v>26</v>
      </c>
      <c r="C64" s="16">
        <v>18</v>
      </c>
      <c r="D64" s="16" t="s">
        <v>17</v>
      </c>
      <c r="E64" s="3" t="s">
        <v>32</v>
      </c>
      <c r="F64" s="4">
        <v>1E-4</v>
      </c>
      <c r="G64" s="4">
        <v>1E-4</v>
      </c>
      <c r="H64" s="3">
        <v>3</v>
      </c>
      <c r="I64" s="3" t="s">
        <v>25</v>
      </c>
      <c r="J64" s="16">
        <v>9.65</v>
      </c>
      <c r="K64" s="16">
        <f t="shared" si="13"/>
        <v>3.4740000000000002</v>
      </c>
      <c r="L64" s="16">
        <v>1</v>
      </c>
      <c r="M64" s="16">
        <v>3.4740000000000002</v>
      </c>
      <c r="O64" s="16">
        <f t="shared" si="14"/>
        <v>1.6473644067281243</v>
      </c>
      <c r="P64" s="16">
        <f t="shared" si="6"/>
        <v>9.9868743807540721</v>
      </c>
    </row>
    <row r="65" spans="1:16" ht="14" x14ac:dyDescent="0.15">
      <c r="A65" s="19">
        <v>45722</v>
      </c>
      <c r="B65" s="16">
        <v>26</v>
      </c>
      <c r="C65" s="16">
        <v>18</v>
      </c>
      <c r="D65" s="16" t="s">
        <v>17</v>
      </c>
      <c r="E65" s="3" t="s">
        <v>29</v>
      </c>
      <c r="F65" s="3">
        <v>10</v>
      </c>
      <c r="G65" s="3">
        <v>10</v>
      </c>
      <c r="H65" s="3">
        <v>1</v>
      </c>
      <c r="I65" s="15" t="s">
        <v>52</v>
      </c>
      <c r="J65" s="16">
        <v>2.14</v>
      </c>
      <c r="K65" s="16">
        <v>2.14</v>
      </c>
      <c r="L65" s="16" t="s">
        <v>17</v>
      </c>
      <c r="M65" s="16" t="s">
        <v>17</v>
      </c>
      <c r="O65" s="16">
        <f t="shared" ref="O65:O70" si="15">LOG(J65/K47,2)</f>
        <v>-0.40319125643073528</v>
      </c>
      <c r="P65" s="16">
        <f t="shared" si="6"/>
        <v>0.63817917798912516</v>
      </c>
    </row>
    <row r="66" spans="1:16" ht="14" x14ac:dyDescent="0.15">
      <c r="A66" s="19">
        <v>45722</v>
      </c>
      <c r="B66" s="16">
        <v>26</v>
      </c>
      <c r="C66" s="16">
        <v>18</v>
      </c>
      <c r="D66" s="16" t="s">
        <v>17</v>
      </c>
      <c r="E66" s="3" t="s">
        <v>29</v>
      </c>
      <c r="F66" s="3">
        <v>10</v>
      </c>
      <c r="G66" s="3">
        <v>10</v>
      </c>
      <c r="H66" s="3">
        <v>2</v>
      </c>
      <c r="I66" s="15" t="s">
        <v>52</v>
      </c>
      <c r="J66" s="16">
        <v>2.5</v>
      </c>
      <c r="K66" s="16">
        <v>2.5</v>
      </c>
      <c r="L66" s="16" t="s">
        <v>17</v>
      </c>
      <c r="M66" s="16" t="s">
        <v>17</v>
      </c>
      <c r="O66" s="16">
        <f t="shared" si="15"/>
        <v>-0.4308204965197715</v>
      </c>
      <c r="P66" s="16">
        <f t="shared" si="6"/>
        <v>0.86249647625006465</v>
      </c>
    </row>
    <row r="67" spans="1:16" ht="14" x14ac:dyDescent="0.15">
      <c r="A67" s="19">
        <v>45722</v>
      </c>
      <c r="B67" s="16">
        <v>26</v>
      </c>
      <c r="C67" s="16">
        <v>18</v>
      </c>
      <c r="D67" s="16" t="s">
        <v>17</v>
      </c>
      <c r="E67" s="3" t="s">
        <v>29</v>
      </c>
      <c r="F67" s="3">
        <v>10</v>
      </c>
      <c r="G67" s="3">
        <v>10</v>
      </c>
      <c r="H67" s="3">
        <v>3</v>
      </c>
      <c r="I67" s="15" t="s">
        <v>52</v>
      </c>
      <c r="J67" s="16">
        <v>2.02</v>
      </c>
      <c r="K67" s="16">
        <v>2.02</v>
      </c>
      <c r="L67" s="16" t="s">
        <v>17</v>
      </c>
      <c r="M67" s="16" t="s">
        <v>17</v>
      </c>
      <c r="O67" s="16">
        <f t="shared" si="15"/>
        <v>-0.68163852013282999</v>
      </c>
      <c r="P67" s="16">
        <f t="shared" si="6"/>
        <v>0.55492367433977285</v>
      </c>
    </row>
    <row r="68" spans="1:16" ht="14" x14ac:dyDescent="0.15">
      <c r="A68" s="19">
        <v>45722</v>
      </c>
      <c r="B68" s="16">
        <v>26</v>
      </c>
      <c r="C68" s="16">
        <v>18</v>
      </c>
      <c r="D68" s="16" t="s">
        <v>17</v>
      </c>
      <c r="E68" s="3" t="s">
        <v>29</v>
      </c>
      <c r="F68" s="3">
        <v>100</v>
      </c>
      <c r="G68" s="3">
        <v>0</v>
      </c>
      <c r="H68" s="3">
        <v>1</v>
      </c>
      <c r="I68" s="15" t="s">
        <v>52</v>
      </c>
      <c r="J68" s="16">
        <v>1.05</v>
      </c>
      <c r="K68" s="16">
        <v>1.05</v>
      </c>
      <c r="L68" s="16" t="s">
        <v>17</v>
      </c>
      <c r="M68" s="16" t="s">
        <v>17</v>
      </c>
      <c r="O68" s="16">
        <f t="shared" si="15"/>
        <v>-0.7776075786635519</v>
      </c>
      <c r="P68" s="16">
        <f t="shared" si="6"/>
        <v>-1.3890422907458992</v>
      </c>
    </row>
    <row r="69" spans="1:16" ht="14" x14ac:dyDescent="0.15">
      <c r="A69" s="19">
        <v>45722</v>
      </c>
      <c r="B69" s="16">
        <v>26</v>
      </c>
      <c r="C69" s="16">
        <v>18</v>
      </c>
      <c r="D69" s="16" t="s">
        <v>17</v>
      </c>
      <c r="E69" s="3" t="s">
        <v>29</v>
      </c>
      <c r="F69" s="3">
        <v>100</v>
      </c>
      <c r="G69" s="3">
        <v>0</v>
      </c>
      <c r="H69" s="3">
        <v>2</v>
      </c>
      <c r="I69" s="15" t="s">
        <v>52</v>
      </c>
      <c r="J69" s="16">
        <v>0.9</v>
      </c>
      <c r="K69" s="16">
        <v>0.9</v>
      </c>
      <c r="L69" s="16" t="s">
        <v>17</v>
      </c>
      <c r="M69" s="16" t="s">
        <v>17</v>
      </c>
      <c r="O69" s="16">
        <f t="shared" si="15"/>
        <v>-0.67807190511263771</v>
      </c>
      <c r="P69" s="16">
        <f t="shared" si="6"/>
        <v>-1.6114347120823469</v>
      </c>
    </row>
    <row r="70" spans="1:16" ht="14" x14ac:dyDescent="0.15">
      <c r="A70" s="19">
        <v>45722</v>
      </c>
      <c r="B70" s="16">
        <v>26</v>
      </c>
      <c r="C70" s="16">
        <v>18</v>
      </c>
      <c r="D70" s="16" t="s">
        <v>17</v>
      </c>
      <c r="E70" s="3" t="s">
        <v>29</v>
      </c>
      <c r="F70" s="3">
        <v>100</v>
      </c>
      <c r="G70" s="3">
        <v>0</v>
      </c>
      <c r="H70" s="3">
        <v>3</v>
      </c>
      <c r="I70" s="15" t="s">
        <v>52</v>
      </c>
      <c r="J70" s="16">
        <v>1.39</v>
      </c>
      <c r="K70" s="16">
        <v>1.39</v>
      </c>
      <c r="L70" s="16" t="s">
        <v>17</v>
      </c>
      <c r="M70" s="16" t="s">
        <v>17</v>
      </c>
      <c r="O70" s="16">
        <f t="shared" si="15"/>
        <v>-0.4809717694636203</v>
      </c>
      <c r="P70" s="16">
        <f t="shared" si="6"/>
        <v>-0.98434673568851461</v>
      </c>
    </row>
    <row r="71" spans="1:16" ht="14" x14ac:dyDescent="0.15">
      <c r="A71" s="19">
        <v>45725</v>
      </c>
      <c r="B71" s="16">
        <v>29</v>
      </c>
      <c r="C71" s="16">
        <v>21</v>
      </c>
      <c r="D71" s="16" t="s">
        <v>17</v>
      </c>
      <c r="E71" s="3" t="s">
        <v>32</v>
      </c>
      <c r="F71" s="4">
        <v>1E-4</v>
      </c>
      <c r="G71" s="4">
        <v>1E-4</v>
      </c>
      <c r="H71" s="3">
        <v>1</v>
      </c>
      <c r="I71" s="3" t="s">
        <v>25</v>
      </c>
      <c r="J71" s="16">
        <v>10.1</v>
      </c>
      <c r="K71" s="16">
        <f t="shared" ref="K71:K73" si="16">J71*0.317</f>
        <v>3.2016999999999998</v>
      </c>
      <c r="L71" s="16">
        <v>1</v>
      </c>
      <c r="M71" s="16">
        <v>3.2016999999999998</v>
      </c>
      <c r="O71" s="16">
        <f t="shared" ref="O71:O73" si="17">LOG(J71/K62,2)</f>
        <v>1.4911747606343091</v>
      </c>
      <c r="P71" s="16">
        <f t="shared" si="6"/>
        <v>11.526560014570199</v>
      </c>
    </row>
    <row r="72" spans="1:16" ht="14" x14ac:dyDescent="0.15">
      <c r="A72" s="19">
        <v>45725</v>
      </c>
      <c r="B72" s="16">
        <v>29</v>
      </c>
      <c r="C72" s="16">
        <v>21</v>
      </c>
      <c r="D72" s="16" t="s">
        <v>17</v>
      </c>
      <c r="E72" s="3" t="s">
        <v>32</v>
      </c>
      <c r="F72" s="4">
        <v>1E-4</v>
      </c>
      <c r="G72" s="4">
        <v>1E-4</v>
      </c>
      <c r="H72" s="3">
        <v>2</v>
      </c>
      <c r="I72" s="3" t="s">
        <v>25</v>
      </c>
      <c r="J72" s="16">
        <v>8.67</v>
      </c>
      <c r="K72" s="16">
        <f t="shared" si="16"/>
        <v>2.7483900000000001</v>
      </c>
      <c r="L72" s="16">
        <v>1</v>
      </c>
      <c r="M72" s="16">
        <v>2.7483900000000001</v>
      </c>
      <c r="O72" s="16">
        <f t="shared" si="17"/>
        <v>1.4755961568275224</v>
      </c>
      <c r="P72" s="16">
        <f t="shared" si="6"/>
        <v>11.306308620152878</v>
      </c>
    </row>
    <row r="73" spans="1:16" ht="14" x14ac:dyDescent="0.15">
      <c r="A73" s="19">
        <v>45725</v>
      </c>
      <c r="B73" s="16">
        <v>29</v>
      </c>
      <c r="C73" s="16">
        <v>21</v>
      </c>
      <c r="D73" s="16" t="s">
        <v>17</v>
      </c>
      <c r="E73" s="3" t="s">
        <v>32</v>
      </c>
      <c r="F73" s="4">
        <v>1E-4</v>
      </c>
      <c r="G73" s="4">
        <v>1E-4</v>
      </c>
      <c r="H73" s="3">
        <v>3</v>
      </c>
      <c r="I73" s="3" t="s">
        <v>25</v>
      </c>
      <c r="J73" s="16">
        <v>9.4499999999999993</v>
      </c>
      <c r="K73" s="16">
        <f t="shared" si="16"/>
        <v>2.9956499999999999</v>
      </c>
      <c r="L73" s="16">
        <v>1</v>
      </c>
      <c r="M73" s="16">
        <v>2.9956499999999999</v>
      </c>
      <c r="O73" s="16">
        <f t="shared" si="17"/>
        <v>1.4437165752854042</v>
      </c>
      <c r="P73" s="16">
        <f t="shared" si="6"/>
        <v>11.430590956039476</v>
      </c>
    </row>
    <row r="74" spans="1:16" ht="14" x14ac:dyDescent="0.15">
      <c r="A74" s="19">
        <v>45725</v>
      </c>
      <c r="B74" s="16">
        <v>29</v>
      </c>
      <c r="C74" s="16">
        <v>21</v>
      </c>
      <c r="D74" s="16" t="s">
        <v>17</v>
      </c>
      <c r="E74" s="3" t="s">
        <v>29</v>
      </c>
      <c r="F74" s="3">
        <v>10</v>
      </c>
      <c r="G74" s="3">
        <v>10</v>
      </c>
      <c r="H74" s="3">
        <v>1</v>
      </c>
      <c r="I74" s="15" t="s">
        <v>52</v>
      </c>
      <c r="J74" s="16" t="s">
        <v>17</v>
      </c>
      <c r="K74" s="16" t="s">
        <v>17</v>
      </c>
      <c r="L74" s="16" t="s">
        <v>17</v>
      </c>
      <c r="M74" s="16" t="s">
        <v>17</v>
      </c>
      <c r="N74" s="16" t="s">
        <v>69</v>
      </c>
      <c r="O74" s="16">
        <v>0</v>
      </c>
      <c r="P74" s="16">
        <f t="shared" si="6"/>
        <v>0.63817917798912516</v>
      </c>
    </row>
    <row r="75" spans="1:16" ht="14" x14ac:dyDescent="0.15">
      <c r="A75" s="19">
        <v>45725</v>
      </c>
      <c r="B75" s="16">
        <v>29</v>
      </c>
      <c r="C75" s="16">
        <v>21</v>
      </c>
      <c r="D75" s="16" t="s">
        <v>17</v>
      </c>
      <c r="E75" s="3" t="s">
        <v>29</v>
      </c>
      <c r="F75" s="3">
        <v>10</v>
      </c>
      <c r="G75" s="3">
        <v>10</v>
      </c>
      <c r="H75" s="3">
        <v>2</v>
      </c>
      <c r="I75" s="15" t="s">
        <v>52</v>
      </c>
      <c r="J75" s="16" t="s">
        <v>17</v>
      </c>
      <c r="K75" s="16" t="s">
        <v>17</v>
      </c>
      <c r="L75" s="16" t="s">
        <v>17</v>
      </c>
      <c r="M75" s="16" t="s">
        <v>17</v>
      </c>
      <c r="O75" s="16">
        <v>0</v>
      </c>
      <c r="P75" s="16">
        <f t="shared" si="6"/>
        <v>0.86249647625006465</v>
      </c>
    </row>
    <row r="76" spans="1:16" ht="14" x14ac:dyDescent="0.15">
      <c r="A76" s="19">
        <v>45725</v>
      </c>
      <c r="B76" s="16">
        <v>29</v>
      </c>
      <c r="C76" s="16">
        <v>21</v>
      </c>
      <c r="D76" s="16" t="s">
        <v>17</v>
      </c>
      <c r="E76" s="3" t="s">
        <v>29</v>
      </c>
      <c r="F76" s="3">
        <v>10</v>
      </c>
      <c r="G76" s="3">
        <v>10</v>
      </c>
      <c r="H76" s="3">
        <v>3</v>
      </c>
      <c r="I76" s="15" t="s">
        <v>52</v>
      </c>
      <c r="J76" s="16" t="s">
        <v>17</v>
      </c>
      <c r="K76" s="16" t="s">
        <v>17</v>
      </c>
      <c r="L76" s="16" t="s">
        <v>17</v>
      </c>
      <c r="M76" s="16" t="s">
        <v>17</v>
      </c>
      <c r="O76" s="16">
        <v>0</v>
      </c>
      <c r="P76" s="16">
        <f t="shared" si="6"/>
        <v>0.55492367433977285</v>
      </c>
    </row>
    <row r="77" spans="1:16" ht="14" x14ac:dyDescent="0.15">
      <c r="A77" s="19">
        <v>45725</v>
      </c>
      <c r="B77" s="16">
        <v>29</v>
      </c>
      <c r="C77" s="16">
        <v>21</v>
      </c>
      <c r="D77" s="16" t="s">
        <v>17</v>
      </c>
      <c r="E77" s="3" t="s">
        <v>29</v>
      </c>
      <c r="F77" s="3">
        <v>100</v>
      </c>
      <c r="G77" s="3">
        <v>0</v>
      </c>
      <c r="H77" s="3">
        <v>1</v>
      </c>
      <c r="I77" s="15" t="s">
        <v>52</v>
      </c>
      <c r="J77" s="16" t="s">
        <v>17</v>
      </c>
      <c r="K77" s="16" t="s">
        <v>17</v>
      </c>
      <c r="L77" s="16" t="s">
        <v>17</v>
      </c>
      <c r="M77" s="16" t="s">
        <v>17</v>
      </c>
      <c r="O77" s="16">
        <v>0</v>
      </c>
      <c r="P77" s="16">
        <f t="shared" si="6"/>
        <v>-1.3890422907458992</v>
      </c>
    </row>
    <row r="78" spans="1:16" ht="14" x14ac:dyDescent="0.15">
      <c r="A78" s="19">
        <v>45725</v>
      </c>
      <c r="B78" s="16">
        <v>29</v>
      </c>
      <c r="C78" s="16">
        <v>21</v>
      </c>
      <c r="D78" s="16" t="s">
        <v>17</v>
      </c>
      <c r="E78" s="3" t="s">
        <v>29</v>
      </c>
      <c r="F78" s="3">
        <v>100</v>
      </c>
      <c r="G78" s="3">
        <v>0</v>
      </c>
      <c r="H78" s="3">
        <v>2</v>
      </c>
      <c r="I78" s="15" t="s">
        <v>52</v>
      </c>
      <c r="J78" s="16" t="s">
        <v>17</v>
      </c>
      <c r="K78" s="16" t="s">
        <v>17</v>
      </c>
      <c r="L78" s="16" t="s">
        <v>17</v>
      </c>
      <c r="M78" s="16" t="s">
        <v>17</v>
      </c>
      <c r="O78" s="16">
        <v>0</v>
      </c>
      <c r="P78" s="16">
        <f t="shared" si="6"/>
        <v>-1.6114347120823469</v>
      </c>
    </row>
    <row r="79" spans="1:16" ht="14" x14ac:dyDescent="0.15">
      <c r="A79" s="19">
        <v>45725</v>
      </c>
      <c r="B79" s="16">
        <v>29</v>
      </c>
      <c r="C79" s="16">
        <v>21</v>
      </c>
      <c r="D79" s="16" t="s">
        <v>17</v>
      </c>
      <c r="E79" s="3" t="s">
        <v>29</v>
      </c>
      <c r="F79" s="3">
        <v>100</v>
      </c>
      <c r="G79" s="3">
        <v>0</v>
      </c>
      <c r="H79" s="3">
        <v>3</v>
      </c>
      <c r="I79" s="15" t="s">
        <v>52</v>
      </c>
      <c r="J79" s="16" t="s">
        <v>17</v>
      </c>
      <c r="K79" s="16" t="s">
        <v>17</v>
      </c>
      <c r="L79" s="16" t="s">
        <v>17</v>
      </c>
      <c r="M79" s="16" t="s">
        <v>17</v>
      </c>
      <c r="O79" s="16">
        <v>0</v>
      </c>
      <c r="P79" s="16">
        <f t="shared" si="6"/>
        <v>-0.98434673568851461</v>
      </c>
    </row>
    <row r="80" spans="1:16" ht="14" x14ac:dyDescent="0.15">
      <c r="A80" s="19">
        <v>45728</v>
      </c>
      <c r="B80" s="16">
        <v>32</v>
      </c>
      <c r="C80" s="16">
        <v>24</v>
      </c>
      <c r="D80" s="16" t="s">
        <v>17</v>
      </c>
      <c r="E80" s="3" t="s">
        <v>32</v>
      </c>
      <c r="F80" s="4">
        <v>1E-4</v>
      </c>
      <c r="G80" s="4">
        <v>1E-4</v>
      </c>
      <c r="H80" s="3">
        <v>1</v>
      </c>
      <c r="I80" s="3" t="s">
        <v>25</v>
      </c>
      <c r="J80" s="16">
        <v>8.3000000000000007</v>
      </c>
      <c r="K80" s="16">
        <f t="shared" ref="K80:K82" si="18">J80/3</f>
        <v>2.7666666666666671</v>
      </c>
      <c r="L80" s="16">
        <v>2</v>
      </c>
      <c r="M80" s="16">
        <v>2.7666666666666671</v>
      </c>
      <c r="O80" s="16">
        <f t="shared" ref="O80:O82" si="19">LOG(J80/K71,2)</f>
        <v>1.3742732031178102</v>
      </c>
      <c r="P80" s="16">
        <f t="shared" si="6"/>
        <v>12.90083321768801</v>
      </c>
    </row>
    <row r="81" spans="1:16" ht="14" x14ac:dyDescent="0.15">
      <c r="A81" s="19">
        <v>45728</v>
      </c>
      <c r="B81" s="16">
        <v>32</v>
      </c>
      <c r="C81" s="16">
        <v>24</v>
      </c>
      <c r="D81" s="16" t="s">
        <v>17</v>
      </c>
      <c r="E81" s="3" t="s">
        <v>32</v>
      </c>
      <c r="F81" s="4">
        <v>1E-4</v>
      </c>
      <c r="G81" s="4">
        <v>1E-4</v>
      </c>
      <c r="H81" s="3">
        <v>2</v>
      </c>
      <c r="I81" s="3" t="s">
        <v>25</v>
      </c>
      <c r="J81" s="16">
        <v>10.199999999999999</v>
      </c>
      <c r="K81" s="16">
        <f t="shared" si="18"/>
        <v>3.4</v>
      </c>
      <c r="L81" s="16">
        <v>2</v>
      </c>
      <c r="M81" s="16">
        <v>3.4</v>
      </c>
      <c r="O81" s="16">
        <f t="shared" si="19"/>
        <v>1.8919105081597025</v>
      </c>
      <c r="P81" s="16">
        <f t="shared" si="6"/>
        <v>13.19821912831258</v>
      </c>
    </row>
    <row r="82" spans="1:16" ht="14" x14ac:dyDescent="0.15">
      <c r="A82" s="19">
        <v>45728</v>
      </c>
      <c r="B82" s="16">
        <v>32</v>
      </c>
      <c r="C82" s="16">
        <v>24</v>
      </c>
      <c r="D82" s="16" t="s">
        <v>17</v>
      </c>
      <c r="E82" s="3" t="s">
        <v>32</v>
      </c>
      <c r="F82" s="4">
        <v>1E-4</v>
      </c>
      <c r="G82" s="4">
        <v>1E-4</v>
      </c>
      <c r="H82" s="3">
        <v>3</v>
      </c>
      <c r="I82" s="3" t="s">
        <v>25</v>
      </c>
      <c r="J82" s="16">
        <v>8.66</v>
      </c>
      <c r="K82" s="16">
        <f t="shared" si="18"/>
        <v>2.8866666666666667</v>
      </c>
      <c r="L82" s="16">
        <v>2</v>
      </c>
      <c r="M82" s="16">
        <v>2.8866666666666667</v>
      </c>
      <c r="O82" s="16">
        <f t="shared" si="19"/>
        <v>1.5314979501409698</v>
      </c>
      <c r="P82" s="16">
        <f t="shared" si="6"/>
        <v>12.962088906180446</v>
      </c>
    </row>
    <row r="83" spans="1:16" ht="14" x14ac:dyDescent="0.15">
      <c r="A83" s="19">
        <v>45728</v>
      </c>
      <c r="B83" s="16">
        <v>32</v>
      </c>
      <c r="C83" s="16">
        <v>24</v>
      </c>
      <c r="D83" s="16" t="s">
        <v>17</v>
      </c>
      <c r="E83" s="3" t="s">
        <v>29</v>
      </c>
      <c r="F83" s="3">
        <v>10</v>
      </c>
      <c r="G83" s="3">
        <v>0</v>
      </c>
      <c r="H83" s="3">
        <v>1</v>
      </c>
      <c r="I83" s="15" t="s">
        <v>52</v>
      </c>
      <c r="J83" s="16">
        <v>1.62</v>
      </c>
      <c r="K83" s="16">
        <v>1.62</v>
      </c>
      <c r="L83" s="16" t="s">
        <v>17</v>
      </c>
      <c r="M83" s="16" t="s">
        <v>17</v>
      </c>
      <c r="N83" s="16" t="s">
        <v>71</v>
      </c>
      <c r="O83" s="16">
        <f t="shared" ref="O83:O88" si="20">LOG(J83/K65,2)</f>
        <v>-0.40161698351652225</v>
      </c>
      <c r="P83" s="16">
        <f t="shared" si="6"/>
        <v>0.2365621944726029</v>
      </c>
    </row>
    <row r="84" spans="1:16" ht="14" x14ac:dyDescent="0.15">
      <c r="A84" s="19">
        <v>45728</v>
      </c>
      <c r="B84" s="16">
        <v>32</v>
      </c>
      <c r="C84" s="16">
        <v>24</v>
      </c>
      <c r="D84" s="16" t="s">
        <v>17</v>
      </c>
      <c r="E84" s="3" t="s">
        <v>29</v>
      </c>
      <c r="F84" s="3">
        <v>10</v>
      </c>
      <c r="G84" s="3">
        <v>0</v>
      </c>
      <c r="H84" s="3">
        <v>2</v>
      </c>
      <c r="I84" s="15" t="s">
        <v>52</v>
      </c>
      <c r="J84" s="16">
        <v>2.69</v>
      </c>
      <c r="K84" s="16">
        <v>2.69</v>
      </c>
      <c r="L84" s="16" t="s">
        <v>17</v>
      </c>
      <c r="M84" s="16" t="s">
        <v>17</v>
      </c>
      <c r="O84" s="16">
        <f t="shared" si="20"/>
        <v>0.1056780778945372</v>
      </c>
      <c r="P84" s="16">
        <f t="shared" si="6"/>
        <v>0.96817455414460185</v>
      </c>
    </row>
    <row r="85" spans="1:16" ht="14" x14ac:dyDescent="0.15">
      <c r="A85" s="19">
        <v>45728</v>
      </c>
      <c r="B85" s="16">
        <v>32</v>
      </c>
      <c r="C85" s="16">
        <v>24</v>
      </c>
      <c r="D85" s="16" t="s">
        <v>17</v>
      </c>
      <c r="E85" s="3" t="s">
        <v>29</v>
      </c>
      <c r="F85" s="3">
        <v>10</v>
      </c>
      <c r="G85" s="3">
        <v>0</v>
      </c>
      <c r="H85" s="3">
        <v>3</v>
      </c>
      <c r="I85" s="15" t="s">
        <v>52</v>
      </c>
      <c r="J85" s="16">
        <v>1.43</v>
      </c>
      <c r="K85" s="16">
        <v>1.43</v>
      </c>
      <c r="L85" s="16" t="s">
        <v>17</v>
      </c>
      <c r="M85" s="16" t="s">
        <v>17</v>
      </c>
      <c r="O85" s="16">
        <f t="shared" si="20"/>
        <v>-0.49834014597340542</v>
      </c>
      <c r="P85" s="16">
        <f t="shared" si="6"/>
        <v>5.658352836636743E-2</v>
      </c>
    </row>
    <row r="86" spans="1:16" ht="14" x14ac:dyDescent="0.15">
      <c r="A86" s="19">
        <v>45728</v>
      </c>
      <c r="B86" s="16">
        <v>32</v>
      </c>
      <c r="C86" s="16">
        <v>24</v>
      </c>
      <c r="D86" s="16" t="s">
        <v>17</v>
      </c>
      <c r="E86" s="3" t="s">
        <v>29</v>
      </c>
      <c r="F86" s="3">
        <v>100</v>
      </c>
      <c r="G86" s="3">
        <v>0</v>
      </c>
      <c r="H86" s="3">
        <v>1</v>
      </c>
      <c r="I86" s="15" t="s">
        <v>52</v>
      </c>
      <c r="J86" s="16">
        <v>1.64</v>
      </c>
      <c r="K86" s="16">
        <v>1.64</v>
      </c>
      <c r="L86" s="16" t="s">
        <v>17</v>
      </c>
      <c r="M86" s="16" t="s">
        <v>17</v>
      </c>
      <c r="O86" s="16">
        <f t="shared" si="20"/>
        <v>0.6433064869519608</v>
      </c>
      <c r="P86" s="16">
        <f t="shared" si="6"/>
        <v>-0.74573580379393845</v>
      </c>
    </row>
    <row r="87" spans="1:16" ht="14" x14ac:dyDescent="0.15">
      <c r="A87" s="19">
        <v>45728</v>
      </c>
      <c r="B87" s="16">
        <v>32</v>
      </c>
      <c r="C87" s="16">
        <v>24</v>
      </c>
      <c r="D87" s="16" t="s">
        <v>17</v>
      </c>
      <c r="E87" s="3" t="s">
        <v>29</v>
      </c>
      <c r="F87" s="3">
        <v>100</v>
      </c>
      <c r="G87" s="3">
        <v>0</v>
      </c>
      <c r="H87" s="3">
        <v>2</v>
      </c>
      <c r="I87" s="15" t="s">
        <v>52</v>
      </c>
      <c r="J87" s="16">
        <v>1.1399999999999999</v>
      </c>
      <c r="K87" s="16">
        <v>1.1399999999999999</v>
      </c>
      <c r="L87" s="16" t="s">
        <v>17</v>
      </c>
      <c r="M87" s="16" t="s">
        <v>17</v>
      </c>
      <c r="O87" s="16">
        <f t="shared" si="20"/>
        <v>0.3410369178350669</v>
      </c>
      <c r="P87" s="16">
        <f t="shared" si="6"/>
        <v>-1.2703977942472799</v>
      </c>
    </row>
    <row r="88" spans="1:16" ht="14" x14ac:dyDescent="0.15">
      <c r="A88" s="19">
        <v>45728</v>
      </c>
      <c r="B88" s="16">
        <v>32</v>
      </c>
      <c r="C88" s="16">
        <v>24</v>
      </c>
      <c r="D88" s="16" t="s">
        <v>17</v>
      </c>
      <c r="E88" s="3" t="s">
        <v>29</v>
      </c>
      <c r="F88" s="3">
        <v>100</v>
      </c>
      <c r="G88" s="3">
        <v>0</v>
      </c>
      <c r="H88" s="3">
        <v>3</v>
      </c>
      <c r="I88" s="15" t="s">
        <v>52</v>
      </c>
      <c r="J88" s="16">
        <v>1.51</v>
      </c>
      <c r="K88" s="16">
        <v>1.51</v>
      </c>
      <c r="L88" s="16" t="s">
        <v>17</v>
      </c>
      <c r="M88" s="16" t="s">
        <v>17</v>
      </c>
      <c r="O88" s="16">
        <f t="shared" si="20"/>
        <v>0.11946366660157164</v>
      </c>
      <c r="P88" s="16">
        <f t="shared" si="6"/>
        <v>-0.86488306908694301</v>
      </c>
    </row>
    <row r="89" spans="1:16" ht="14" x14ac:dyDescent="0.15">
      <c r="A89" s="19">
        <v>45731</v>
      </c>
      <c r="B89" s="16">
        <v>35</v>
      </c>
      <c r="C89" s="16">
        <v>27</v>
      </c>
      <c r="D89" s="16" t="s">
        <v>17</v>
      </c>
      <c r="E89" s="3" t="s">
        <v>32</v>
      </c>
      <c r="F89" s="4">
        <v>1E-4</v>
      </c>
      <c r="G89" s="4">
        <v>1E-4</v>
      </c>
      <c r="H89" s="3">
        <v>1</v>
      </c>
      <c r="I89" s="3" t="s">
        <v>25</v>
      </c>
      <c r="J89" s="16">
        <v>8.85</v>
      </c>
      <c r="K89" s="16">
        <f t="shared" ref="K89:K91" si="21">J89/3</f>
        <v>2.9499999999999997</v>
      </c>
      <c r="L89" s="16">
        <v>1</v>
      </c>
      <c r="M89" s="16">
        <f t="shared" ref="M89:M91" si="22">K89</f>
        <v>2.9499999999999997</v>
      </c>
      <c r="O89" s="16">
        <f t="shared" ref="O89:O91" si="23">LOG(J89/K80,2)</f>
        <v>1.6775286194572285</v>
      </c>
      <c r="P89" s="16">
        <f t="shared" si="6"/>
        <v>14.578361837145239</v>
      </c>
    </row>
    <row r="90" spans="1:16" ht="14" x14ac:dyDescent="0.15">
      <c r="A90" s="19">
        <v>45731</v>
      </c>
      <c r="B90" s="16">
        <v>35</v>
      </c>
      <c r="C90" s="16">
        <v>27</v>
      </c>
      <c r="D90" s="16" t="s">
        <v>17</v>
      </c>
      <c r="E90" s="3" t="s">
        <v>32</v>
      </c>
      <c r="F90" s="4">
        <v>1E-4</v>
      </c>
      <c r="G90" s="4">
        <v>1E-4</v>
      </c>
      <c r="H90" s="3">
        <v>2</v>
      </c>
      <c r="I90" s="3" t="s">
        <v>25</v>
      </c>
      <c r="J90" s="16">
        <v>8.2799999999999994</v>
      </c>
      <c r="K90" s="16">
        <f t="shared" si="21"/>
        <v>2.76</v>
      </c>
      <c r="L90" s="16">
        <v>1</v>
      </c>
      <c r="M90" s="16">
        <f t="shared" si="22"/>
        <v>2.76</v>
      </c>
      <c r="O90" s="16">
        <f t="shared" si="23"/>
        <v>1.2840960213616235</v>
      </c>
      <c r="P90" s="16">
        <f t="shared" si="6"/>
        <v>14.482315149674204</v>
      </c>
    </row>
    <row r="91" spans="1:16" ht="14" x14ac:dyDescent="0.15">
      <c r="A91" s="19">
        <v>45731</v>
      </c>
      <c r="B91" s="16">
        <v>35</v>
      </c>
      <c r="C91" s="16">
        <v>27</v>
      </c>
      <c r="D91" s="16" t="s">
        <v>17</v>
      </c>
      <c r="E91" s="3" t="s">
        <v>32</v>
      </c>
      <c r="F91" s="4">
        <v>1E-4</v>
      </c>
      <c r="G91" s="4">
        <v>1E-4</v>
      </c>
      <c r="H91" s="3">
        <v>3</v>
      </c>
      <c r="I91" s="3" t="s">
        <v>25</v>
      </c>
      <c r="J91" s="16">
        <v>8.39</v>
      </c>
      <c r="K91" s="16">
        <f t="shared" si="21"/>
        <v>2.7966666666666669</v>
      </c>
      <c r="L91" s="16">
        <v>1</v>
      </c>
      <c r="M91" s="16">
        <f t="shared" si="22"/>
        <v>2.7966666666666669</v>
      </c>
      <c r="O91" s="16">
        <f t="shared" si="23"/>
        <v>1.5392662864342548</v>
      </c>
      <c r="P91" s="16">
        <f t="shared" si="6"/>
        <v>14.501355192614701</v>
      </c>
    </row>
    <row r="92" spans="1:16" ht="14" x14ac:dyDescent="0.15">
      <c r="A92" s="19">
        <v>45731</v>
      </c>
      <c r="B92" s="16">
        <v>35</v>
      </c>
      <c r="C92" s="16">
        <v>27</v>
      </c>
      <c r="D92" s="16" t="s">
        <v>17</v>
      </c>
      <c r="E92" s="3" t="s">
        <v>29</v>
      </c>
      <c r="F92" s="3">
        <v>10</v>
      </c>
      <c r="G92" s="3">
        <v>0</v>
      </c>
      <c r="H92" s="3">
        <v>1</v>
      </c>
      <c r="I92" s="15" t="s">
        <v>52</v>
      </c>
      <c r="J92" s="16" t="s">
        <v>17</v>
      </c>
      <c r="K92" s="16" t="s">
        <v>17</v>
      </c>
      <c r="L92" s="16" t="s">
        <v>17</v>
      </c>
      <c r="M92" s="16" t="s">
        <v>17</v>
      </c>
      <c r="O92" s="16">
        <v>0</v>
      </c>
      <c r="P92" s="16">
        <f t="shared" si="6"/>
        <v>0.2365621944726029</v>
      </c>
    </row>
    <row r="93" spans="1:16" ht="14" x14ac:dyDescent="0.15">
      <c r="A93" s="19">
        <v>45731</v>
      </c>
      <c r="B93" s="16">
        <v>35</v>
      </c>
      <c r="C93" s="16">
        <v>27</v>
      </c>
      <c r="D93" s="16" t="s">
        <v>17</v>
      </c>
      <c r="E93" s="3" t="s">
        <v>29</v>
      </c>
      <c r="F93" s="3">
        <v>10</v>
      </c>
      <c r="G93" s="3">
        <v>0</v>
      </c>
      <c r="H93" s="3">
        <v>2</v>
      </c>
      <c r="I93" s="15" t="s">
        <v>52</v>
      </c>
      <c r="J93" s="16" t="s">
        <v>17</v>
      </c>
      <c r="K93" s="16" t="s">
        <v>17</v>
      </c>
      <c r="L93" s="16" t="s">
        <v>17</v>
      </c>
      <c r="M93" s="16" t="s">
        <v>17</v>
      </c>
      <c r="O93" s="16">
        <v>0</v>
      </c>
      <c r="P93" s="16">
        <f t="shared" si="6"/>
        <v>0.96817455414460185</v>
      </c>
    </row>
    <row r="94" spans="1:16" ht="14" x14ac:dyDescent="0.15">
      <c r="A94" s="19">
        <v>45731</v>
      </c>
      <c r="B94" s="16">
        <v>35</v>
      </c>
      <c r="C94" s="16">
        <v>27</v>
      </c>
      <c r="D94" s="16" t="s">
        <v>17</v>
      </c>
      <c r="E94" s="3" t="s">
        <v>29</v>
      </c>
      <c r="F94" s="3">
        <v>10</v>
      </c>
      <c r="G94" s="3">
        <v>0</v>
      </c>
      <c r="H94" s="3">
        <v>3</v>
      </c>
      <c r="I94" s="15" t="s">
        <v>52</v>
      </c>
      <c r="J94" s="16" t="s">
        <v>17</v>
      </c>
      <c r="K94" s="16" t="s">
        <v>17</v>
      </c>
      <c r="L94" s="16" t="s">
        <v>17</v>
      </c>
      <c r="M94" s="16" t="s">
        <v>17</v>
      </c>
      <c r="O94" s="16">
        <v>0</v>
      </c>
      <c r="P94" s="16">
        <f t="shared" si="6"/>
        <v>5.658352836636743E-2</v>
      </c>
    </row>
    <row r="95" spans="1:16" ht="14" x14ac:dyDescent="0.15">
      <c r="A95" s="19">
        <v>45731</v>
      </c>
      <c r="B95" s="16">
        <v>35</v>
      </c>
      <c r="C95" s="16">
        <v>27</v>
      </c>
      <c r="D95" s="16" t="s">
        <v>17</v>
      </c>
      <c r="E95" s="3" t="s">
        <v>29</v>
      </c>
      <c r="F95" s="3">
        <v>100</v>
      </c>
      <c r="G95" s="3">
        <v>0</v>
      </c>
      <c r="H95" s="3">
        <v>1</v>
      </c>
      <c r="I95" s="15" t="s">
        <v>52</v>
      </c>
      <c r="J95" s="16" t="s">
        <v>17</v>
      </c>
      <c r="K95" s="16" t="s">
        <v>17</v>
      </c>
      <c r="L95" s="16" t="s">
        <v>17</v>
      </c>
      <c r="M95" s="16" t="s">
        <v>17</v>
      </c>
      <c r="O95" s="16">
        <v>0</v>
      </c>
      <c r="P95" s="16">
        <f t="shared" si="6"/>
        <v>-0.74573580379393845</v>
      </c>
    </row>
    <row r="96" spans="1:16" ht="14" x14ac:dyDescent="0.15">
      <c r="A96" s="19">
        <v>45731</v>
      </c>
      <c r="B96" s="16">
        <v>35</v>
      </c>
      <c r="C96" s="16">
        <v>27</v>
      </c>
      <c r="D96" s="16" t="s">
        <v>17</v>
      </c>
      <c r="E96" s="3" t="s">
        <v>29</v>
      </c>
      <c r="F96" s="3">
        <v>100</v>
      </c>
      <c r="G96" s="3">
        <v>0</v>
      </c>
      <c r="H96" s="3">
        <v>2</v>
      </c>
      <c r="I96" s="15" t="s">
        <v>52</v>
      </c>
      <c r="J96" s="16" t="s">
        <v>17</v>
      </c>
      <c r="K96" s="16" t="s">
        <v>17</v>
      </c>
      <c r="L96" s="16" t="s">
        <v>17</v>
      </c>
      <c r="M96" s="16" t="s">
        <v>17</v>
      </c>
      <c r="O96" s="16">
        <v>0</v>
      </c>
      <c r="P96" s="16">
        <f t="shared" si="6"/>
        <v>-1.2703977942472799</v>
      </c>
    </row>
    <row r="97" spans="1:16" ht="14" x14ac:dyDescent="0.15">
      <c r="A97" s="19">
        <v>45731</v>
      </c>
      <c r="B97" s="16">
        <v>35</v>
      </c>
      <c r="C97" s="16">
        <v>27</v>
      </c>
      <c r="D97" s="16" t="s">
        <v>17</v>
      </c>
      <c r="E97" s="3" t="s">
        <v>29</v>
      </c>
      <c r="F97" s="3">
        <v>100</v>
      </c>
      <c r="G97" s="3">
        <v>0</v>
      </c>
      <c r="H97" s="3">
        <v>3</v>
      </c>
      <c r="I97" s="15" t="s">
        <v>52</v>
      </c>
      <c r="J97" s="16" t="s">
        <v>17</v>
      </c>
      <c r="K97" s="16" t="s">
        <v>17</v>
      </c>
      <c r="L97" s="16" t="s">
        <v>17</v>
      </c>
      <c r="M97" s="16" t="s">
        <v>17</v>
      </c>
      <c r="O97" s="16">
        <v>0</v>
      </c>
      <c r="P97" s="16">
        <f t="shared" si="6"/>
        <v>-0.86488306908694301</v>
      </c>
    </row>
    <row r="98" spans="1:16" ht="14" x14ac:dyDescent="0.15">
      <c r="A98" s="19">
        <v>45734</v>
      </c>
      <c r="B98" s="16">
        <v>38</v>
      </c>
      <c r="C98" s="16">
        <v>30</v>
      </c>
      <c r="D98" s="16" t="s">
        <v>17</v>
      </c>
      <c r="E98" s="3" t="s">
        <v>32</v>
      </c>
      <c r="F98" s="4">
        <v>1E-4</v>
      </c>
      <c r="G98" s="4">
        <v>1E-4</v>
      </c>
      <c r="H98" s="3">
        <v>1</v>
      </c>
      <c r="I98" s="3" t="s">
        <v>25</v>
      </c>
      <c r="J98" s="16">
        <v>8.7100000000000009</v>
      </c>
      <c r="K98" s="16" t="s">
        <v>17</v>
      </c>
      <c r="L98" s="16">
        <v>3</v>
      </c>
      <c r="M98" s="16">
        <f t="shared" ref="M98:M106" si="24">J98/L98</f>
        <v>2.9033333333333338</v>
      </c>
      <c r="O98" s="16">
        <f t="shared" ref="O98:O100" si="25">LOG(J98/K89,2)</f>
        <v>1.5619577643496614</v>
      </c>
      <c r="P98" s="16">
        <f t="shared" si="6"/>
        <v>16.140319601494902</v>
      </c>
    </row>
    <row r="99" spans="1:16" ht="14" x14ac:dyDescent="0.15">
      <c r="A99" s="19">
        <v>45734</v>
      </c>
      <c r="B99" s="16">
        <v>38</v>
      </c>
      <c r="C99" s="16">
        <v>30</v>
      </c>
      <c r="D99" s="16" t="s">
        <v>17</v>
      </c>
      <c r="E99" s="3" t="s">
        <v>32</v>
      </c>
      <c r="F99" s="4">
        <v>1E-4</v>
      </c>
      <c r="G99" s="4">
        <v>1E-4</v>
      </c>
      <c r="H99" s="3">
        <v>2</v>
      </c>
      <c r="I99" s="3" t="s">
        <v>25</v>
      </c>
      <c r="J99" s="16">
        <v>8.9499999999999993</v>
      </c>
      <c r="K99" s="16" t="s">
        <v>17</v>
      </c>
      <c r="L99" s="16">
        <v>3</v>
      </c>
      <c r="M99" s="16">
        <f t="shared" si="24"/>
        <v>2.9833333333333329</v>
      </c>
      <c r="O99" s="16">
        <f t="shared" si="25"/>
        <v>1.6972194153734499</v>
      </c>
      <c r="P99" s="16">
        <f t="shared" si="6"/>
        <v>16.179534565047653</v>
      </c>
    </row>
    <row r="100" spans="1:16" ht="14" x14ac:dyDescent="0.15">
      <c r="A100" s="19">
        <v>45734</v>
      </c>
      <c r="B100" s="16">
        <v>38</v>
      </c>
      <c r="C100" s="16">
        <v>30</v>
      </c>
      <c r="D100" s="16" t="s">
        <v>17</v>
      </c>
      <c r="E100" s="3" t="s">
        <v>32</v>
      </c>
      <c r="F100" s="4">
        <v>1E-4</v>
      </c>
      <c r="G100" s="4">
        <v>1E-4</v>
      </c>
      <c r="H100" s="3">
        <v>3</v>
      </c>
      <c r="I100" s="3" t="s">
        <v>25</v>
      </c>
      <c r="J100" s="16">
        <v>9.16</v>
      </c>
      <c r="K100" s="16" t="s">
        <v>17</v>
      </c>
      <c r="L100" s="16">
        <v>3</v>
      </c>
      <c r="M100" s="16">
        <f t="shared" si="24"/>
        <v>3.0533333333333332</v>
      </c>
      <c r="O100" s="16">
        <f t="shared" si="25"/>
        <v>1.7116392883782769</v>
      </c>
      <c r="P100" s="16">
        <f t="shared" si="6"/>
        <v>16.212994480992979</v>
      </c>
    </row>
    <row r="101" spans="1:16" ht="14" x14ac:dyDescent="0.15">
      <c r="A101" s="19">
        <v>45734</v>
      </c>
      <c r="B101" s="16">
        <v>38</v>
      </c>
      <c r="C101" s="16">
        <v>30</v>
      </c>
      <c r="D101" s="16" t="s">
        <v>17</v>
      </c>
      <c r="E101" s="3" t="s">
        <v>29</v>
      </c>
      <c r="F101" s="3">
        <v>10</v>
      </c>
      <c r="G101" s="3">
        <v>0</v>
      </c>
      <c r="H101" s="3">
        <v>1</v>
      </c>
      <c r="I101" s="15" t="s">
        <v>52</v>
      </c>
      <c r="J101" s="16">
        <v>8.23</v>
      </c>
      <c r="K101" s="16" t="s">
        <v>17</v>
      </c>
      <c r="L101" s="16">
        <v>2</v>
      </c>
      <c r="M101" s="16">
        <f t="shared" si="24"/>
        <v>4.1150000000000002</v>
      </c>
      <c r="O101" s="16">
        <f t="shared" ref="O101:O106" si="26">LOG(J101/K83,2)</f>
        <v>2.3448986175370008</v>
      </c>
      <c r="P101" s="16">
        <f t="shared" si="6"/>
        <v>2.5814608120096039</v>
      </c>
    </row>
    <row r="102" spans="1:16" ht="14" x14ac:dyDescent="0.15">
      <c r="A102" s="19">
        <v>45734</v>
      </c>
      <c r="B102" s="16">
        <v>38</v>
      </c>
      <c r="C102" s="16">
        <v>30</v>
      </c>
      <c r="D102" s="16" t="s">
        <v>17</v>
      </c>
      <c r="E102" s="3" t="s">
        <v>29</v>
      </c>
      <c r="F102" s="3">
        <v>10</v>
      </c>
      <c r="G102" s="3">
        <v>0</v>
      </c>
      <c r="H102" s="3">
        <v>2</v>
      </c>
      <c r="I102" s="15" t="s">
        <v>52</v>
      </c>
      <c r="J102" s="16">
        <v>4.2</v>
      </c>
      <c r="K102" s="16" t="s">
        <v>17</v>
      </c>
      <c r="L102" s="16">
        <v>1</v>
      </c>
      <c r="M102" s="16">
        <f t="shared" si="24"/>
        <v>4.2</v>
      </c>
      <c r="O102" s="16">
        <f t="shared" si="26"/>
        <v>0.64278315510949868</v>
      </c>
      <c r="P102" s="16">
        <f t="shared" si="6"/>
        <v>1.6109577092541005</v>
      </c>
    </row>
    <row r="103" spans="1:16" ht="14" x14ac:dyDescent="0.15">
      <c r="A103" s="19">
        <v>45734</v>
      </c>
      <c r="B103" s="16">
        <v>38</v>
      </c>
      <c r="C103" s="16">
        <v>30</v>
      </c>
      <c r="D103" s="16" t="s">
        <v>17</v>
      </c>
      <c r="E103" s="3" t="s">
        <v>29</v>
      </c>
      <c r="F103" s="3">
        <v>10</v>
      </c>
      <c r="G103" s="3">
        <v>0</v>
      </c>
      <c r="H103" s="3">
        <v>3</v>
      </c>
      <c r="I103" s="15" t="s">
        <v>52</v>
      </c>
      <c r="J103" s="16">
        <v>1.68</v>
      </c>
      <c r="K103" s="16" t="s">
        <v>17</v>
      </c>
      <c r="L103" s="16">
        <v>1</v>
      </c>
      <c r="M103" s="16">
        <f t="shared" si="24"/>
        <v>1.68</v>
      </c>
      <c r="O103" s="16">
        <f t="shared" si="26"/>
        <v>0.23244608600037081</v>
      </c>
      <c r="P103" s="16">
        <f t="shared" si="6"/>
        <v>0.28902961436673824</v>
      </c>
    </row>
    <row r="104" spans="1:16" ht="14" x14ac:dyDescent="0.15">
      <c r="A104" s="19">
        <v>45734</v>
      </c>
      <c r="B104" s="16">
        <v>38</v>
      </c>
      <c r="C104" s="16">
        <v>30</v>
      </c>
      <c r="D104" s="16" t="s">
        <v>17</v>
      </c>
      <c r="E104" s="3" t="s">
        <v>29</v>
      </c>
      <c r="F104" s="3">
        <v>100</v>
      </c>
      <c r="G104" s="3">
        <v>0</v>
      </c>
      <c r="H104" s="3">
        <v>1</v>
      </c>
      <c r="I104" s="15" t="s">
        <v>52</v>
      </c>
      <c r="J104" s="16">
        <v>17.600000000000001</v>
      </c>
      <c r="K104" s="16" t="s">
        <v>17</v>
      </c>
      <c r="L104" s="16">
        <v>4</v>
      </c>
      <c r="M104" s="16">
        <f t="shared" si="24"/>
        <v>4.4000000000000004</v>
      </c>
      <c r="O104" s="16">
        <f t="shared" si="26"/>
        <v>3.4238077089065757</v>
      </c>
      <c r="P104" s="16">
        <f t="shared" si="6"/>
        <v>2.6780719051126374</v>
      </c>
    </row>
    <row r="105" spans="1:16" ht="14" x14ac:dyDescent="0.15">
      <c r="A105" s="19">
        <v>45734</v>
      </c>
      <c r="B105" s="16">
        <v>38</v>
      </c>
      <c r="C105" s="16">
        <v>30</v>
      </c>
      <c r="D105" s="16" t="s">
        <v>17</v>
      </c>
      <c r="E105" s="3" t="s">
        <v>29</v>
      </c>
      <c r="F105" s="3">
        <v>100</v>
      </c>
      <c r="G105" s="3">
        <v>0</v>
      </c>
      <c r="H105" s="3">
        <v>2</v>
      </c>
      <c r="I105" s="15" t="s">
        <v>52</v>
      </c>
      <c r="J105" s="16">
        <v>10.7</v>
      </c>
      <c r="K105" s="16" t="s">
        <v>17</v>
      </c>
      <c r="L105" s="16">
        <v>3</v>
      </c>
      <c r="M105" s="16">
        <f t="shared" si="24"/>
        <v>3.5666666666666664</v>
      </c>
      <c r="O105" s="16">
        <f t="shared" si="26"/>
        <v>3.2305050671237678</v>
      </c>
      <c r="P105" s="16">
        <f t="shared" si="6"/>
        <v>1.9601072728764879</v>
      </c>
    </row>
    <row r="106" spans="1:16" ht="14" x14ac:dyDescent="0.15">
      <c r="A106" s="19">
        <v>45734</v>
      </c>
      <c r="B106" s="16">
        <v>38</v>
      </c>
      <c r="C106" s="16">
        <v>30</v>
      </c>
      <c r="D106" s="16" t="s">
        <v>17</v>
      </c>
      <c r="E106" s="3" t="s">
        <v>29</v>
      </c>
      <c r="F106" s="3">
        <v>100</v>
      </c>
      <c r="G106" s="3">
        <v>0</v>
      </c>
      <c r="H106" s="3">
        <v>3</v>
      </c>
      <c r="I106" s="15" t="s">
        <v>52</v>
      </c>
      <c r="J106" s="16">
        <v>10.5</v>
      </c>
      <c r="K106" s="16" t="s">
        <v>17</v>
      </c>
      <c r="L106" s="16">
        <v>3</v>
      </c>
      <c r="M106" s="16">
        <f t="shared" si="24"/>
        <v>3.5</v>
      </c>
      <c r="O106" s="16">
        <f t="shared" si="26"/>
        <v>2.7977688732284061</v>
      </c>
      <c r="P106" s="16">
        <f t="shared" si="6"/>
        <v>1.9328858041414629</v>
      </c>
    </row>
  </sheetData>
  <conditionalFormatting sqref="E1:E106 F5:G7">
    <cfRule type="cellIs" dxfId="83" priority="6" operator="equal">
      <formula>"KI-CDK9d-32"</formula>
    </cfRule>
    <cfRule type="cellIs" dxfId="82" priority="7" operator="equal">
      <formula>"KI-CDK9d-32N"</formula>
    </cfRule>
    <cfRule type="cellIs" dxfId="81" priority="8" operator="equal">
      <formula>"KB-0742"</formula>
    </cfRule>
    <cfRule type="cellIs" dxfId="80" priority="9" operator="equal">
      <formula>"SY-5609"</formula>
    </cfRule>
    <cfRule type="cellIs" dxfId="79" priority="10" operator="equal">
      <formula>"Senexin B"</formula>
    </cfRule>
    <cfRule type="cellIs" dxfId="78" priority="11" operator="equal">
      <formula>"SEL120"</formula>
    </cfRule>
    <cfRule type="cellIs" dxfId="77" priority="12" operator="equal">
      <formula>"DMSO"</formula>
    </cfRule>
    <cfRule type="cellIs" dxfId="76" priority="13" operator="equal">
      <formula>"NONE"</formula>
    </cfRule>
  </conditionalFormatting>
  <conditionalFormatting sqref="F2:G106">
    <cfRule type="colorScale" priority="14">
      <colorScale>
        <cfvo type="min"/>
        <cfvo type="percentile" val="50"/>
        <cfvo type="max"/>
        <color rgb="FF0000FF"/>
        <color rgb="FFFFFFFF"/>
        <color rgb="FFFF0000"/>
      </colorScale>
    </cfRule>
  </conditionalFormatting>
  <conditionalFormatting sqref="H1:H58 H61:H67 H70:H76 H79:H85 H88:H94 H97:H103 H106">
    <cfRule type="cellIs" dxfId="75" priority="4" operator="equal">
      <formula>3</formula>
    </cfRule>
  </conditionalFormatting>
  <conditionalFormatting sqref="H1:H106">
    <cfRule type="cellIs" dxfId="74" priority="2" operator="equal">
      <formula>1</formula>
    </cfRule>
    <cfRule type="cellIs" dxfId="73" priority="3" operator="equal">
      <formula>2</formula>
    </cfRule>
  </conditionalFormatting>
  <conditionalFormatting sqref="J1:N1 A1:C43 D1:I106">
    <cfRule type="cellIs" dxfId="72" priority="1" operator="equal">
      <formula>"N/A"</formula>
    </cfRule>
  </conditionalFormatting>
  <printOptions horizontalCentered="1" gridLines="1"/>
  <pageMargins left="0.25" right="0.25" top="0.75" bottom="0.75" header="0" footer="0"/>
  <pageSetup scale="6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opLeftCell="A56" workbookViewId="0">
      <selection activeCell="O82" sqref="O82"/>
    </sheetView>
  </sheetViews>
  <sheetFormatPr baseColWidth="10" defaultColWidth="12.6640625" defaultRowHeight="15.75" customHeight="1" x14ac:dyDescent="0.15"/>
  <cols>
    <col min="14" max="14" width="24.6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46</v>
      </c>
      <c r="O1" s="16" t="s">
        <v>47</v>
      </c>
      <c r="P1" s="16" t="s">
        <v>48</v>
      </c>
    </row>
    <row r="2" spans="1:25" ht="15.75" customHeight="1" x14ac:dyDescent="0.15">
      <c r="A2" s="2">
        <v>45746</v>
      </c>
      <c r="B2" s="3">
        <v>0</v>
      </c>
      <c r="C2" s="16" t="s">
        <v>17</v>
      </c>
      <c r="D2" s="16" t="s">
        <v>17</v>
      </c>
      <c r="E2" s="16" t="s">
        <v>17</v>
      </c>
      <c r="F2" s="16" t="s">
        <v>17</v>
      </c>
      <c r="G2" s="16" t="s">
        <v>17</v>
      </c>
      <c r="H2" s="3">
        <v>1</v>
      </c>
      <c r="I2" s="3" t="s">
        <v>72</v>
      </c>
      <c r="J2" s="16">
        <v>18</v>
      </c>
      <c r="K2" s="16" t="s">
        <v>17</v>
      </c>
      <c r="L2" s="16" t="s">
        <v>17</v>
      </c>
      <c r="M2" s="16" t="s">
        <v>17</v>
      </c>
      <c r="N2" s="3"/>
      <c r="S2" s="16" t="s">
        <v>55</v>
      </c>
      <c r="T2" s="16" t="s">
        <v>56</v>
      </c>
      <c r="U2" s="16" t="s">
        <v>57</v>
      </c>
      <c r="V2" s="16" t="s">
        <v>58</v>
      </c>
      <c r="W2" s="16" t="s">
        <v>73</v>
      </c>
      <c r="X2" s="16" t="s">
        <v>74</v>
      </c>
      <c r="Y2" s="16" t="s">
        <v>75</v>
      </c>
    </row>
    <row r="3" spans="1:25" ht="15.75" customHeight="1" x14ac:dyDescent="0.15">
      <c r="A3" s="2">
        <v>45746</v>
      </c>
      <c r="B3" s="3">
        <v>0</v>
      </c>
      <c r="C3" s="16" t="s">
        <v>17</v>
      </c>
      <c r="D3" s="16" t="s">
        <v>17</v>
      </c>
      <c r="E3" s="16" t="s">
        <v>17</v>
      </c>
      <c r="F3" s="16" t="s">
        <v>17</v>
      </c>
      <c r="G3" s="16" t="s">
        <v>17</v>
      </c>
      <c r="H3" s="3">
        <v>2</v>
      </c>
      <c r="I3" s="3" t="s">
        <v>72</v>
      </c>
      <c r="J3" s="16">
        <v>18</v>
      </c>
      <c r="K3" s="16" t="s">
        <v>17</v>
      </c>
      <c r="L3" s="16" t="s">
        <v>17</v>
      </c>
      <c r="M3" s="16" t="s">
        <v>17</v>
      </c>
      <c r="N3" s="3"/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</row>
    <row r="4" spans="1:25" ht="15.75" customHeight="1" x14ac:dyDescent="0.15">
      <c r="A4" s="2">
        <v>45746</v>
      </c>
      <c r="B4" s="3">
        <v>0</v>
      </c>
      <c r="C4" s="16" t="s">
        <v>17</v>
      </c>
      <c r="D4" s="16" t="s">
        <v>17</v>
      </c>
      <c r="E4" s="16" t="s">
        <v>17</v>
      </c>
      <c r="F4" s="16" t="s">
        <v>17</v>
      </c>
      <c r="G4" s="16" t="s">
        <v>17</v>
      </c>
      <c r="H4" s="3">
        <v>3</v>
      </c>
      <c r="I4" s="3" t="s">
        <v>72</v>
      </c>
      <c r="J4" s="16">
        <v>18</v>
      </c>
      <c r="K4" s="16" t="s">
        <v>17</v>
      </c>
      <c r="L4" s="16" t="s">
        <v>17</v>
      </c>
      <c r="M4" s="16" t="s">
        <v>17</v>
      </c>
      <c r="N4" s="3"/>
      <c r="S4" s="16">
        <v>3</v>
      </c>
      <c r="T4" s="16">
        <f>P26</f>
        <v>2.6322682154995132</v>
      </c>
      <c r="U4" s="16">
        <f>P27</f>
        <v>2.4150374992788439</v>
      </c>
      <c r="V4" s="16">
        <f>P28</f>
        <v>2.5769251816557377</v>
      </c>
      <c r="W4" s="16">
        <f>P29</f>
        <v>1.526068811667588</v>
      </c>
      <c r="X4" s="16">
        <f>P30</f>
        <v>1.5360529002402097</v>
      </c>
      <c r="Y4" s="16">
        <f>P31</f>
        <v>1.6780719051126378</v>
      </c>
    </row>
    <row r="5" spans="1:25" ht="15.75" customHeight="1" x14ac:dyDescent="0.15">
      <c r="A5" s="19">
        <v>45747</v>
      </c>
      <c r="B5" s="16">
        <v>1</v>
      </c>
      <c r="C5" s="16" t="s">
        <v>17</v>
      </c>
      <c r="D5" s="16" t="s">
        <v>17</v>
      </c>
      <c r="E5" s="16" t="s">
        <v>17</v>
      </c>
      <c r="F5" s="16" t="s">
        <v>17</v>
      </c>
      <c r="G5" s="16" t="s">
        <v>17</v>
      </c>
      <c r="H5" s="3">
        <v>1</v>
      </c>
      <c r="I5" s="16" t="s">
        <v>76</v>
      </c>
      <c r="J5" s="16" t="s">
        <v>17</v>
      </c>
      <c r="K5" s="16" t="s">
        <v>17</v>
      </c>
      <c r="L5" s="16" t="s">
        <v>17</v>
      </c>
      <c r="M5" s="16" t="s">
        <v>17</v>
      </c>
      <c r="N5" s="3"/>
      <c r="S5" s="16">
        <v>6</v>
      </c>
      <c r="T5" s="16">
        <f>P32</f>
        <v>4.1296676843358311</v>
      </c>
      <c r="U5" s="16">
        <f>P33</f>
        <v>4.3155018257279298</v>
      </c>
      <c r="V5" s="16">
        <f>P34</f>
        <v>4.4773895081048236</v>
      </c>
      <c r="W5" s="16">
        <f>P35</f>
        <v>3.5139959793670128</v>
      </c>
      <c r="X5" s="16">
        <f>P36</f>
        <v>3.6291623046316914</v>
      </c>
      <c r="Y5" s="16">
        <f>P37</f>
        <v>3.7019186470670054</v>
      </c>
    </row>
    <row r="6" spans="1:25" ht="15.75" customHeight="1" x14ac:dyDescent="0.15">
      <c r="A6" s="19">
        <v>45747</v>
      </c>
      <c r="B6" s="16">
        <v>1</v>
      </c>
      <c r="C6" s="16" t="s">
        <v>17</v>
      </c>
      <c r="D6" s="16" t="s">
        <v>17</v>
      </c>
      <c r="E6" s="16" t="s">
        <v>17</v>
      </c>
      <c r="F6" s="16" t="s">
        <v>17</v>
      </c>
      <c r="G6" s="16" t="s">
        <v>17</v>
      </c>
      <c r="H6" s="3">
        <v>2</v>
      </c>
      <c r="I6" s="16" t="s">
        <v>76</v>
      </c>
      <c r="J6" s="16" t="s">
        <v>17</v>
      </c>
      <c r="K6" s="16" t="s">
        <v>17</v>
      </c>
      <c r="L6" s="16" t="s">
        <v>17</v>
      </c>
      <c r="M6" s="16" t="s">
        <v>17</v>
      </c>
      <c r="N6" s="3"/>
      <c r="S6" s="16">
        <v>9</v>
      </c>
      <c r="T6" s="16">
        <f>P38</f>
        <v>6.6490418434294103</v>
      </c>
      <c r="U6" s="16">
        <f>P39</f>
        <v>6.9004643264490859</v>
      </c>
      <c r="V6" s="16">
        <f>P40</f>
        <v>7.0134424083450337</v>
      </c>
      <c r="W6" s="16">
        <f>P41</f>
        <v>4.1708736622105276</v>
      </c>
      <c r="X6" s="16">
        <f>P42</f>
        <v>4.4059681633296881</v>
      </c>
      <c r="Y6" s="16">
        <f>P43</f>
        <v>4.5065229581085751</v>
      </c>
    </row>
    <row r="7" spans="1:25" ht="15.75" customHeight="1" x14ac:dyDescent="0.15">
      <c r="A7" s="19">
        <v>45747</v>
      </c>
      <c r="B7" s="16">
        <v>1</v>
      </c>
      <c r="C7" s="16" t="s">
        <v>17</v>
      </c>
      <c r="D7" s="16" t="s">
        <v>17</v>
      </c>
      <c r="E7" s="16" t="s">
        <v>17</v>
      </c>
      <c r="F7" s="16" t="s">
        <v>17</v>
      </c>
      <c r="G7" s="16" t="s">
        <v>17</v>
      </c>
      <c r="H7" s="3">
        <v>3</v>
      </c>
      <c r="I7" s="16" t="s">
        <v>76</v>
      </c>
      <c r="J7" s="16" t="s">
        <v>17</v>
      </c>
      <c r="K7" s="16" t="s">
        <v>17</v>
      </c>
      <c r="L7" s="16" t="s">
        <v>17</v>
      </c>
      <c r="M7" s="16" t="s">
        <v>17</v>
      </c>
      <c r="N7" s="3"/>
      <c r="S7" s="16">
        <v>12</v>
      </c>
      <c r="T7" s="16">
        <f>P44</f>
        <v>9.0820012507055168</v>
      </c>
      <c r="U7" s="16">
        <f>P45</f>
        <v>9.4530053494778645</v>
      </c>
      <c r="V7" s="16">
        <f>P46</f>
        <v>9.3919540315987646</v>
      </c>
      <c r="W7" s="16">
        <f>P47</f>
        <v>5.2503940018540538</v>
      </c>
      <c r="X7" s="16">
        <f>P48</f>
        <v>5.6629787815357115</v>
      </c>
      <c r="Y7" s="16">
        <f>P49</f>
        <v>5.6828457307490385</v>
      </c>
    </row>
    <row r="8" spans="1:25" ht="15.75" customHeight="1" x14ac:dyDescent="0.15">
      <c r="A8" s="19">
        <v>45749</v>
      </c>
      <c r="B8" s="16">
        <v>3</v>
      </c>
      <c r="C8" s="16" t="s">
        <v>17</v>
      </c>
      <c r="D8" s="16" t="s">
        <v>17</v>
      </c>
      <c r="E8" s="16" t="s">
        <v>17</v>
      </c>
      <c r="F8" s="16" t="s">
        <v>17</v>
      </c>
      <c r="G8" s="16" t="s">
        <v>17</v>
      </c>
      <c r="H8" s="3">
        <v>1</v>
      </c>
      <c r="I8" s="16" t="s">
        <v>49</v>
      </c>
      <c r="J8" s="16">
        <v>2.5</v>
      </c>
      <c r="K8" s="16" t="s">
        <v>17</v>
      </c>
      <c r="L8" s="16" t="s">
        <v>17</v>
      </c>
      <c r="M8" s="16" t="s">
        <v>17</v>
      </c>
      <c r="N8" s="3" t="s">
        <v>77</v>
      </c>
      <c r="S8" s="16">
        <v>15</v>
      </c>
      <c r="T8" s="16">
        <f>P53</f>
        <v>11.163795341869164</v>
      </c>
      <c r="U8" s="16">
        <f>P54</f>
        <v>11.74578709870571</v>
      </c>
      <c r="V8" s="16">
        <f>P55</f>
        <v>11.732990949433832</v>
      </c>
      <c r="W8" s="16">
        <f>P56</f>
        <v>6.3878975256039885</v>
      </c>
      <c r="X8" s="16">
        <f>P57</f>
        <v>7.0870050640418096</v>
      </c>
      <c r="Y8" s="16">
        <f>P58</f>
        <v>7.0978832300278825</v>
      </c>
    </row>
    <row r="9" spans="1:25" ht="15.75" customHeight="1" x14ac:dyDescent="0.15">
      <c r="A9" s="19">
        <v>45749</v>
      </c>
      <c r="B9" s="16">
        <v>3</v>
      </c>
      <c r="C9" s="16" t="s">
        <v>17</v>
      </c>
      <c r="D9" s="16" t="s">
        <v>17</v>
      </c>
      <c r="E9" s="16" t="s">
        <v>17</v>
      </c>
      <c r="F9" s="16" t="s">
        <v>17</v>
      </c>
      <c r="G9" s="16" t="s">
        <v>17</v>
      </c>
      <c r="H9" s="3">
        <v>2</v>
      </c>
      <c r="I9" s="16" t="s">
        <v>49</v>
      </c>
      <c r="J9" s="16">
        <v>3</v>
      </c>
      <c r="K9" s="16" t="s">
        <v>17</v>
      </c>
      <c r="L9" s="16" t="s">
        <v>17</v>
      </c>
      <c r="M9" s="16" t="s">
        <v>17</v>
      </c>
      <c r="N9" s="3"/>
      <c r="S9" s="16">
        <v>18</v>
      </c>
      <c r="T9" s="16">
        <v>13.476073266722807</v>
      </c>
      <c r="U9" s="16">
        <v>13.883290622455645</v>
      </c>
      <c r="V9" s="16">
        <v>13.95538337077028</v>
      </c>
      <c r="W9" s="16">
        <v>7.9919688492728493</v>
      </c>
      <c r="X9" s="16">
        <v>8.6047006946843929</v>
      </c>
      <c r="Y9" s="16">
        <v>8.1864771532968703</v>
      </c>
    </row>
    <row r="10" spans="1:25" ht="15.75" customHeight="1" x14ac:dyDescent="0.15">
      <c r="A10" s="19">
        <v>45749</v>
      </c>
      <c r="B10" s="16">
        <v>3</v>
      </c>
      <c r="C10" s="16" t="s">
        <v>17</v>
      </c>
      <c r="D10" s="16" t="s">
        <v>17</v>
      </c>
      <c r="E10" s="16" t="s">
        <v>17</v>
      </c>
      <c r="F10" s="16" t="s">
        <v>17</v>
      </c>
      <c r="G10" s="16" t="s">
        <v>17</v>
      </c>
      <c r="H10" s="3">
        <v>3</v>
      </c>
      <c r="I10" s="16" t="s">
        <v>49</v>
      </c>
      <c r="J10" s="16">
        <v>3</v>
      </c>
      <c r="K10" s="16" t="s">
        <v>17</v>
      </c>
      <c r="L10" s="16" t="s">
        <v>17</v>
      </c>
      <c r="M10" s="16" t="s">
        <v>17</v>
      </c>
      <c r="N10" s="3"/>
      <c r="S10" s="16">
        <v>21</v>
      </c>
      <c r="T10" s="16">
        <v>15.900099549228905</v>
      </c>
      <c r="U10" s="16">
        <v>16.419343522695854</v>
      </c>
      <c r="V10" s="16">
        <v>16.466345290047659</v>
      </c>
      <c r="W10" s="16">
        <v>9.7575035956358267</v>
      </c>
      <c r="X10" s="16">
        <v>10.124074853777973</v>
      </c>
      <c r="Y10" s="16">
        <v>9.9800262758294433</v>
      </c>
    </row>
    <row r="11" spans="1:25" ht="15.75" customHeight="1" x14ac:dyDescent="0.15">
      <c r="A11" s="19">
        <v>45753</v>
      </c>
      <c r="B11" s="16">
        <v>7</v>
      </c>
      <c r="C11" s="16" t="s">
        <v>17</v>
      </c>
      <c r="D11" s="16" t="s">
        <v>17</v>
      </c>
      <c r="E11" s="16" t="s">
        <v>17</v>
      </c>
      <c r="F11" s="16" t="s">
        <v>17</v>
      </c>
      <c r="G11" s="16" t="s">
        <v>17</v>
      </c>
      <c r="H11" s="3">
        <v>1</v>
      </c>
      <c r="I11" s="16" t="s">
        <v>17</v>
      </c>
      <c r="J11" s="16">
        <v>5.0999999999999996</v>
      </c>
      <c r="K11" s="16" t="s">
        <v>17</v>
      </c>
      <c r="L11" s="16" t="s">
        <v>17</v>
      </c>
      <c r="M11" s="16" t="s">
        <v>17</v>
      </c>
      <c r="N11" s="3" t="s">
        <v>78</v>
      </c>
    </row>
    <row r="12" spans="1:25" ht="15.75" customHeight="1" x14ac:dyDescent="0.15">
      <c r="A12" s="19">
        <v>45753</v>
      </c>
      <c r="B12" s="16">
        <v>7</v>
      </c>
      <c r="C12" s="16" t="s">
        <v>17</v>
      </c>
      <c r="D12" s="16" t="s">
        <v>17</v>
      </c>
      <c r="E12" s="16" t="s">
        <v>17</v>
      </c>
      <c r="F12" s="16" t="s">
        <v>17</v>
      </c>
      <c r="G12" s="16" t="s">
        <v>17</v>
      </c>
      <c r="H12" s="3">
        <v>2</v>
      </c>
      <c r="I12" s="16" t="s">
        <v>17</v>
      </c>
      <c r="J12" s="16">
        <v>6</v>
      </c>
      <c r="K12" s="16" t="s">
        <v>17</v>
      </c>
      <c r="L12" s="16" t="s">
        <v>17</v>
      </c>
      <c r="M12" s="16" t="s">
        <v>17</v>
      </c>
      <c r="N12" s="3" t="s">
        <v>79</v>
      </c>
    </row>
    <row r="13" spans="1:25" ht="15.75" customHeight="1" x14ac:dyDescent="0.15">
      <c r="A13" s="19">
        <v>45753</v>
      </c>
      <c r="B13" s="16">
        <v>7</v>
      </c>
      <c r="C13" s="16" t="s">
        <v>17</v>
      </c>
      <c r="D13" s="16" t="s">
        <v>17</v>
      </c>
      <c r="E13" s="16" t="s">
        <v>17</v>
      </c>
      <c r="F13" s="16" t="s">
        <v>17</v>
      </c>
      <c r="G13" s="16" t="s">
        <v>17</v>
      </c>
      <c r="H13" s="3">
        <v>3</v>
      </c>
      <c r="I13" s="16" t="s">
        <v>17</v>
      </c>
      <c r="J13" s="16">
        <v>5.7</v>
      </c>
      <c r="K13" s="16" t="s">
        <v>17</v>
      </c>
      <c r="L13" s="16" t="s">
        <v>17</v>
      </c>
      <c r="M13" s="16" t="s">
        <v>17</v>
      </c>
      <c r="N13" s="3" t="s">
        <v>80</v>
      </c>
    </row>
    <row r="14" spans="1:25" ht="15.75" customHeight="1" x14ac:dyDescent="0.15">
      <c r="A14" s="19">
        <v>45753</v>
      </c>
      <c r="B14" s="16">
        <v>7</v>
      </c>
      <c r="C14" s="16" t="s">
        <v>17</v>
      </c>
      <c r="D14" s="16" t="s">
        <v>17</v>
      </c>
      <c r="E14" s="16" t="s">
        <v>17</v>
      </c>
      <c r="F14" s="16" t="s">
        <v>17</v>
      </c>
      <c r="G14" s="16" t="s">
        <v>17</v>
      </c>
      <c r="H14" s="3">
        <v>1</v>
      </c>
      <c r="I14" s="16" t="s">
        <v>49</v>
      </c>
      <c r="J14" s="16">
        <v>3</v>
      </c>
      <c r="K14" s="16" t="s">
        <v>17</v>
      </c>
      <c r="L14" s="16">
        <v>2</v>
      </c>
      <c r="M14" s="16">
        <v>3</v>
      </c>
      <c r="N14" s="3"/>
    </row>
    <row r="15" spans="1:25" ht="15.75" customHeight="1" x14ac:dyDescent="0.15">
      <c r="A15" s="19">
        <v>45753</v>
      </c>
      <c r="B15" s="16">
        <v>7</v>
      </c>
      <c r="C15" s="16" t="s">
        <v>17</v>
      </c>
      <c r="D15" s="16" t="s">
        <v>17</v>
      </c>
      <c r="E15" s="16" t="s">
        <v>17</v>
      </c>
      <c r="F15" s="16" t="s">
        <v>17</v>
      </c>
      <c r="G15" s="16" t="s">
        <v>17</v>
      </c>
      <c r="H15" s="3">
        <v>2</v>
      </c>
      <c r="I15" s="16" t="s">
        <v>49</v>
      </c>
      <c r="J15" s="16">
        <v>3</v>
      </c>
      <c r="K15" s="16" t="s">
        <v>17</v>
      </c>
      <c r="L15" s="16">
        <v>2</v>
      </c>
      <c r="M15" s="16">
        <v>3</v>
      </c>
      <c r="N15" s="3" t="s">
        <v>81</v>
      </c>
    </row>
    <row r="16" spans="1:25" ht="15.75" customHeight="1" x14ac:dyDescent="0.15">
      <c r="A16" s="19">
        <v>45753</v>
      </c>
      <c r="B16" s="16">
        <v>7</v>
      </c>
      <c r="C16" s="16" t="s">
        <v>17</v>
      </c>
      <c r="D16" s="16" t="s">
        <v>17</v>
      </c>
      <c r="E16" s="16" t="s">
        <v>17</v>
      </c>
      <c r="F16" s="16" t="s">
        <v>17</v>
      </c>
      <c r="G16" s="16" t="s">
        <v>17</v>
      </c>
      <c r="H16" s="3">
        <v>3</v>
      </c>
      <c r="I16" s="16" t="s">
        <v>49</v>
      </c>
      <c r="J16" s="16">
        <v>3</v>
      </c>
      <c r="K16" s="16" t="s">
        <v>17</v>
      </c>
      <c r="L16" s="16">
        <v>2</v>
      </c>
      <c r="M16" s="16">
        <v>3</v>
      </c>
      <c r="N16" s="3"/>
    </row>
    <row r="17" spans="1:16" ht="15.75" customHeight="1" x14ac:dyDescent="0.15">
      <c r="A17" s="19">
        <v>45753</v>
      </c>
      <c r="B17" s="16">
        <v>7</v>
      </c>
      <c r="C17" s="16" t="s">
        <v>17</v>
      </c>
      <c r="D17" s="16" t="s">
        <v>17</v>
      </c>
      <c r="E17" s="16" t="s">
        <v>17</v>
      </c>
      <c r="F17" s="16" t="s">
        <v>17</v>
      </c>
      <c r="G17" s="16" t="s">
        <v>17</v>
      </c>
      <c r="H17" s="3">
        <v>1</v>
      </c>
      <c r="I17" s="16" t="s">
        <v>49</v>
      </c>
      <c r="J17" s="16">
        <v>3</v>
      </c>
      <c r="K17" s="16" t="s">
        <v>17</v>
      </c>
      <c r="L17" s="16" t="s">
        <v>17</v>
      </c>
      <c r="M17" s="16" t="s">
        <v>17</v>
      </c>
      <c r="N17" s="3"/>
    </row>
    <row r="18" spans="1:16" ht="15.75" customHeight="1" x14ac:dyDescent="0.15">
      <c r="A18" s="19">
        <v>45753</v>
      </c>
      <c r="B18" s="16">
        <v>7</v>
      </c>
      <c r="C18" s="16" t="s">
        <v>17</v>
      </c>
      <c r="D18" s="16" t="s">
        <v>17</v>
      </c>
      <c r="E18" s="16" t="s">
        <v>17</v>
      </c>
      <c r="F18" s="16" t="s">
        <v>17</v>
      </c>
      <c r="G18" s="16" t="s">
        <v>17</v>
      </c>
      <c r="H18" s="3">
        <v>2</v>
      </c>
      <c r="I18" s="16" t="s">
        <v>49</v>
      </c>
      <c r="J18" s="16">
        <v>3</v>
      </c>
      <c r="K18" s="16" t="s">
        <v>17</v>
      </c>
      <c r="L18" s="16" t="s">
        <v>17</v>
      </c>
      <c r="M18" s="16" t="s">
        <v>17</v>
      </c>
      <c r="N18" s="3"/>
    </row>
    <row r="19" spans="1:16" ht="15.75" customHeight="1" x14ac:dyDescent="0.15">
      <c r="A19" s="19">
        <v>45753</v>
      </c>
      <c r="B19" s="16">
        <v>7</v>
      </c>
      <c r="C19" s="16" t="s">
        <v>17</v>
      </c>
      <c r="D19" s="16" t="s">
        <v>17</v>
      </c>
      <c r="E19" s="16" t="s">
        <v>17</v>
      </c>
      <c r="F19" s="16" t="s">
        <v>17</v>
      </c>
      <c r="G19" s="16" t="s">
        <v>17</v>
      </c>
      <c r="H19" s="3">
        <v>3</v>
      </c>
      <c r="I19" s="16" t="s">
        <v>49</v>
      </c>
      <c r="J19" s="16">
        <v>3</v>
      </c>
      <c r="K19" s="16" t="s">
        <v>17</v>
      </c>
      <c r="L19" s="16" t="s">
        <v>17</v>
      </c>
      <c r="M19" s="16" t="s">
        <v>17</v>
      </c>
      <c r="N19" s="3"/>
      <c r="O19" s="16">
        <v>0</v>
      </c>
      <c r="P19" s="16">
        <v>0</v>
      </c>
    </row>
    <row r="20" spans="1:16" ht="15.75" customHeight="1" x14ac:dyDescent="0.15">
      <c r="A20" s="19">
        <v>45754</v>
      </c>
      <c r="B20" s="16">
        <v>8</v>
      </c>
      <c r="C20" s="16">
        <v>0</v>
      </c>
      <c r="D20" s="16" t="s">
        <v>17</v>
      </c>
      <c r="E20" s="3" t="s">
        <v>32</v>
      </c>
      <c r="F20" s="4">
        <v>1E-4</v>
      </c>
      <c r="G20" s="4">
        <v>1E-4</v>
      </c>
      <c r="H20" s="3">
        <v>1</v>
      </c>
      <c r="I20" s="16" t="s">
        <v>49</v>
      </c>
      <c r="J20" s="16" t="s">
        <v>17</v>
      </c>
      <c r="K20" s="16" t="s">
        <v>17</v>
      </c>
      <c r="L20" s="16" t="s">
        <v>17</v>
      </c>
      <c r="M20" s="16" t="s">
        <v>17</v>
      </c>
      <c r="N20" s="3"/>
      <c r="O20" s="16">
        <v>0</v>
      </c>
      <c r="P20" s="16">
        <v>0</v>
      </c>
    </row>
    <row r="21" spans="1:16" ht="15.75" customHeight="1" x14ac:dyDescent="0.15">
      <c r="A21" s="19">
        <v>45754</v>
      </c>
      <c r="B21" s="16">
        <v>8</v>
      </c>
      <c r="C21" s="16">
        <v>0</v>
      </c>
      <c r="D21" s="16" t="s">
        <v>17</v>
      </c>
      <c r="E21" s="3" t="s">
        <v>32</v>
      </c>
      <c r="F21" s="4">
        <v>1E-4</v>
      </c>
      <c r="G21" s="4">
        <v>1E-4</v>
      </c>
      <c r="H21" s="3">
        <v>2</v>
      </c>
      <c r="I21" s="16" t="s">
        <v>49</v>
      </c>
      <c r="J21" s="16" t="s">
        <v>17</v>
      </c>
      <c r="K21" s="16" t="s">
        <v>17</v>
      </c>
      <c r="L21" s="16" t="s">
        <v>17</v>
      </c>
      <c r="M21" s="16" t="s">
        <v>17</v>
      </c>
      <c r="N21" s="3"/>
      <c r="O21" s="16">
        <v>0</v>
      </c>
      <c r="P21" s="16">
        <v>0</v>
      </c>
    </row>
    <row r="22" spans="1:16" ht="15.75" customHeight="1" x14ac:dyDescent="0.15">
      <c r="A22" s="19">
        <v>45754</v>
      </c>
      <c r="B22" s="16">
        <v>8</v>
      </c>
      <c r="C22" s="16">
        <v>0</v>
      </c>
      <c r="D22" s="16" t="s">
        <v>17</v>
      </c>
      <c r="E22" s="3" t="s">
        <v>32</v>
      </c>
      <c r="F22" s="4">
        <v>1E-4</v>
      </c>
      <c r="G22" s="4">
        <v>1E-4</v>
      </c>
      <c r="H22" s="3">
        <v>3</v>
      </c>
      <c r="I22" s="16" t="s">
        <v>49</v>
      </c>
      <c r="J22" s="16" t="s">
        <v>17</v>
      </c>
      <c r="K22" s="16" t="s">
        <v>17</v>
      </c>
      <c r="L22" s="16" t="s">
        <v>17</v>
      </c>
      <c r="M22" s="16" t="s">
        <v>17</v>
      </c>
      <c r="N22" s="3"/>
      <c r="O22" s="16">
        <v>0</v>
      </c>
      <c r="P22" s="16">
        <v>0</v>
      </c>
    </row>
    <row r="23" spans="1:16" ht="15.75" customHeight="1" x14ac:dyDescent="0.15">
      <c r="A23" s="19">
        <v>45754</v>
      </c>
      <c r="B23" s="16">
        <v>8</v>
      </c>
      <c r="C23" s="16">
        <v>0</v>
      </c>
      <c r="D23" s="16" t="s">
        <v>17</v>
      </c>
      <c r="E23" s="3" t="s">
        <v>28</v>
      </c>
      <c r="F23" s="16">
        <v>1000</v>
      </c>
      <c r="G23" s="16">
        <v>1000</v>
      </c>
      <c r="H23" s="3">
        <v>1</v>
      </c>
      <c r="I23" s="16" t="s">
        <v>49</v>
      </c>
      <c r="J23" s="16" t="s">
        <v>17</v>
      </c>
      <c r="K23" s="16" t="s">
        <v>17</v>
      </c>
      <c r="L23" s="16" t="s">
        <v>17</v>
      </c>
      <c r="M23" s="16" t="s">
        <v>17</v>
      </c>
      <c r="N23" s="3"/>
      <c r="O23" s="16">
        <v>0</v>
      </c>
      <c r="P23" s="16">
        <v>0</v>
      </c>
    </row>
    <row r="24" spans="1:16" ht="15.75" customHeight="1" x14ac:dyDescent="0.15">
      <c r="A24" s="19">
        <v>45754</v>
      </c>
      <c r="B24" s="16">
        <v>8</v>
      </c>
      <c r="C24" s="16">
        <v>0</v>
      </c>
      <c r="D24" s="16" t="s">
        <v>17</v>
      </c>
      <c r="E24" s="3" t="s">
        <v>28</v>
      </c>
      <c r="F24" s="16">
        <v>1000</v>
      </c>
      <c r="G24" s="16">
        <v>1000</v>
      </c>
      <c r="H24" s="3">
        <v>2</v>
      </c>
      <c r="I24" s="16" t="s">
        <v>49</v>
      </c>
      <c r="J24" s="16" t="s">
        <v>17</v>
      </c>
      <c r="K24" s="16" t="s">
        <v>17</v>
      </c>
      <c r="L24" s="16" t="s">
        <v>17</v>
      </c>
      <c r="M24" s="16" t="s">
        <v>17</v>
      </c>
      <c r="N24" s="3"/>
      <c r="O24" s="16">
        <v>0</v>
      </c>
      <c r="P24" s="16">
        <v>0</v>
      </c>
    </row>
    <row r="25" spans="1:16" ht="15.75" customHeight="1" x14ac:dyDescent="0.15">
      <c r="A25" s="19">
        <v>45754</v>
      </c>
      <c r="B25" s="16">
        <v>8</v>
      </c>
      <c r="C25" s="16">
        <v>0</v>
      </c>
      <c r="D25" s="16" t="s">
        <v>17</v>
      </c>
      <c r="E25" s="3" t="s">
        <v>28</v>
      </c>
      <c r="F25" s="16">
        <v>1000</v>
      </c>
      <c r="G25" s="16">
        <v>1000</v>
      </c>
      <c r="H25" s="3">
        <v>3</v>
      </c>
      <c r="I25" s="16" t="s">
        <v>49</v>
      </c>
      <c r="J25" s="16" t="s">
        <v>17</v>
      </c>
      <c r="K25" s="16" t="s">
        <v>17</v>
      </c>
      <c r="L25" s="16" t="s">
        <v>17</v>
      </c>
      <c r="M25" s="16" t="s">
        <v>17</v>
      </c>
      <c r="N25" s="3"/>
      <c r="O25" s="16">
        <v>0</v>
      </c>
      <c r="P25" s="16">
        <v>0</v>
      </c>
    </row>
    <row r="26" spans="1:16" ht="15.75" customHeight="1" x14ac:dyDescent="0.15">
      <c r="A26" s="19">
        <v>45757</v>
      </c>
      <c r="B26" s="16">
        <v>11</v>
      </c>
      <c r="C26" s="16">
        <v>3</v>
      </c>
      <c r="D26" s="16" t="s">
        <v>17</v>
      </c>
      <c r="E26" s="3" t="s">
        <v>32</v>
      </c>
      <c r="F26" s="4">
        <v>1E-4</v>
      </c>
      <c r="G26" s="4">
        <v>1E-4</v>
      </c>
      <c r="H26" s="3">
        <v>1</v>
      </c>
      <c r="I26" s="16" t="s">
        <v>49</v>
      </c>
      <c r="J26" s="16">
        <v>18.600000000000001</v>
      </c>
      <c r="K26" s="16">
        <v>3</v>
      </c>
      <c r="L26" s="16">
        <v>1</v>
      </c>
      <c r="M26" s="16">
        <v>3</v>
      </c>
      <c r="N26" s="3"/>
      <c r="O26" s="16">
        <f t="shared" ref="O26:O31" si="0">LOG(J26/J14,2)</f>
        <v>2.6322682154995132</v>
      </c>
      <c r="P26" s="16">
        <f t="shared" ref="P26:P31" si="1">O26</f>
        <v>2.6322682154995132</v>
      </c>
    </row>
    <row r="27" spans="1:16" ht="15.75" customHeight="1" x14ac:dyDescent="0.15">
      <c r="A27" s="19">
        <v>45757</v>
      </c>
      <c r="B27" s="16">
        <v>11</v>
      </c>
      <c r="C27" s="16">
        <v>3</v>
      </c>
      <c r="D27" s="16" t="s">
        <v>17</v>
      </c>
      <c r="E27" s="3" t="s">
        <v>32</v>
      </c>
      <c r="F27" s="4">
        <v>1E-4</v>
      </c>
      <c r="G27" s="4">
        <v>1E-4</v>
      </c>
      <c r="H27" s="3">
        <v>2</v>
      </c>
      <c r="I27" s="16" t="s">
        <v>49</v>
      </c>
      <c r="J27" s="16">
        <v>16</v>
      </c>
      <c r="K27" s="16">
        <v>3</v>
      </c>
      <c r="L27" s="16">
        <v>1</v>
      </c>
      <c r="M27" s="16">
        <v>3</v>
      </c>
      <c r="N27" s="3"/>
      <c r="O27" s="16">
        <f t="shared" si="0"/>
        <v>2.4150374992788439</v>
      </c>
      <c r="P27" s="16">
        <f t="shared" si="1"/>
        <v>2.4150374992788439</v>
      </c>
    </row>
    <row r="28" spans="1:16" ht="15.75" customHeight="1" x14ac:dyDescent="0.15">
      <c r="A28" s="19">
        <v>45757</v>
      </c>
      <c r="B28" s="16">
        <v>11</v>
      </c>
      <c r="C28" s="16">
        <v>3</v>
      </c>
      <c r="D28" s="16" t="s">
        <v>17</v>
      </c>
      <c r="E28" s="3" t="s">
        <v>32</v>
      </c>
      <c r="F28" s="4">
        <v>1E-4</v>
      </c>
      <c r="G28" s="4">
        <v>1E-4</v>
      </c>
      <c r="H28" s="3">
        <v>3</v>
      </c>
      <c r="I28" s="16" t="s">
        <v>49</v>
      </c>
      <c r="J28" s="16">
        <v>17.899999999999999</v>
      </c>
      <c r="K28" s="16">
        <v>3</v>
      </c>
      <c r="L28" s="16">
        <v>1</v>
      </c>
      <c r="M28" s="16">
        <v>3</v>
      </c>
      <c r="N28" s="3"/>
      <c r="O28" s="16">
        <f t="shared" si="0"/>
        <v>2.5769251816557377</v>
      </c>
      <c r="P28" s="16">
        <f t="shared" si="1"/>
        <v>2.5769251816557377</v>
      </c>
    </row>
    <row r="29" spans="1:16" ht="15.75" customHeight="1" x14ac:dyDescent="0.15">
      <c r="A29" s="19">
        <v>45757</v>
      </c>
      <c r="B29" s="16">
        <v>11</v>
      </c>
      <c r="C29" s="16">
        <v>3</v>
      </c>
      <c r="D29" s="16" t="s">
        <v>17</v>
      </c>
      <c r="E29" s="3" t="s">
        <v>28</v>
      </c>
      <c r="F29" s="16">
        <v>1000</v>
      </c>
      <c r="G29" s="16">
        <v>1000</v>
      </c>
      <c r="H29" s="3">
        <v>1</v>
      </c>
      <c r="I29" s="16" t="s">
        <v>49</v>
      </c>
      <c r="J29" s="16">
        <v>8.64</v>
      </c>
      <c r="K29" s="16">
        <v>3</v>
      </c>
      <c r="L29" s="16">
        <v>1</v>
      </c>
      <c r="M29" s="16">
        <v>3</v>
      </c>
      <c r="N29" s="3"/>
      <c r="O29" s="16">
        <f t="shared" si="0"/>
        <v>1.526068811667588</v>
      </c>
      <c r="P29" s="16">
        <f t="shared" si="1"/>
        <v>1.526068811667588</v>
      </c>
    </row>
    <row r="30" spans="1:16" ht="15.75" customHeight="1" x14ac:dyDescent="0.15">
      <c r="A30" s="19">
        <v>45757</v>
      </c>
      <c r="B30" s="16">
        <v>11</v>
      </c>
      <c r="C30" s="16">
        <v>3</v>
      </c>
      <c r="D30" s="16" t="s">
        <v>17</v>
      </c>
      <c r="E30" s="3" t="s">
        <v>28</v>
      </c>
      <c r="F30" s="16">
        <v>1000</v>
      </c>
      <c r="G30" s="16">
        <v>1000</v>
      </c>
      <c r="H30" s="3">
        <v>2</v>
      </c>
      <c r="I30" s="16" t="s">
        <v>49</v>
      </c>
      <c r="J30" s="16">
        <v>8.6999999999999993</v>
      </c>
      <c r="K30" s="16">
        <v>3</v>
      </c>
      <c r="L30" s="16">
        <v>1</v>
      </c>
      <c r="M30" s="16">
        <v>3</v>
      </c>
      <c r="N30" s="3"/>
      <c r="O30" s="16">
        <f t="shared" si="0"/>
        <v>1.5360529002402097</v>
      </c>
      <c r="P30" s="16">
        <f t="shared" si="1"/>
        <v>1.5360529002402097</v>
      </c>
    </row>
    <row r="31" spans="1:16" ht="15.75" customHeight="1" x14ac:dyDescent="0.15">
      <c r="A31" s="19">
        <v>45757</v>
      </c>
      <c r="B31" s="16">
        <v>11</v>
      </c>
      <c r="C31" s="16">
        <v>3</v>
      </c>
      <c r="D31" s="16" t="s">
        <v>17</v>
      </c>
      <c r="E31" s="3" t="s">
        <v>28</v>
      </c>
      <c r="F31" s="16">
        <v>1000</v>
      </c>
      <c r="G31" s="16">
        <v>1000</v>
      </c>
      <c r="H31" s="3">
        <v>3</v>
      </c>
      <c r="I31" s="16" t="s">
        <v>49</v>
      </c>
      <c r="J31" s="16">
        <v>9.6</v>
      </c>
      <c r="K31" s="16">
        <v>3</v>
      </c>
      <c r="L31" s="16">
        <v>1</v>
      </c>
      <c r="M31" s="16">
        <v>3</v>
      </c>
      <c r="N31" s="3"/>
      <c r="O31" s="16">
        <f t="shared" si="0"/>
        <v>1.6780719051126378</v>
      </c>
      <c r="P31" s="16">
        <f t="shared" si="1"/>
        <v>1.6780719051126378</v>
      </c>
    </row>
    <row r="32" spans="1:16" ht="15.75" customHeight="1" x14ac:dyDescent="0.15">
      <c r="A32" s="19">
        <v>45760</v>
      </c>
      <c r="B32" s="16">
        <v>14</v>
      </c>
      <c r="C32" s="16">
        <v>6</v>
      </c>
      <c r="D32" s="16" t="s">
        <v>17</v>
      </c>
      <c r="E32" s="3" t="s">
        <v>32</v>
      </c>
      <c r="F32" s="4">
        <v>1E-4</v>
      </c>
      <c r="G32" s="4">
        <v>2.0000000000000001E-4</v>
      </c>
      <c r="H32" s="3">
        <v>1</v>
      </c>
      <c r="I32" s="16" t="s">
        <v>49</v>
      </c>
      <c r="J32" s="16">
        <v>8.4700000000000006</v>
      </c>
      <c r="K32" s="16">
        <v>3</v>
      </c>
      <c r="L32" s="16">
        <v>1</v>
      </c>
      <c r="M32" s="16">
        <v>3</v>
      </c>
      <c r="N32" s="3"/>
      <c r="O32" s="16">
        <f t="shared" ref="O32:O49" si="2">LOG(J32/K26,2)</f>
        <v>1.4973994688363179</v>
      </c>
      <c r="P32" s="16">
        <f t="shared" ref="P32:P49" si="3">O32+P26</f>
        <v>4.1296676843358311</v>
      </c>
    </row>
    <row r="33" spans="1:16" ht="15.75" customHeight="1" x14ac:dyDescent="0.15">
      <c r="A33" s="19">
        <v>45760</v>
      </c>
      <c r="B33" s="16">
        <v>14</v>
      </c>
      <c r="C33" s="16">
        <v>6</v>
      </c>
      <c r="D33" s="16" t="s">
        <v>17</v>
      </c>
      <c r="E33" s="3" t="s">
        <v>32</v>
      </c>
      <c r="F33" s="4">
        <v>1E-4</v>
      </c>
      <c r="G33" s="4">
        <v>2.0000000000000001E-4</v>
      </c>
      <c r="H33" s="3">
        <v>2</v>
      </c>
      <c r="I33" s="16" t="s">
        <v>49</v>
      </c>
      <c r="J33" s="16">
        <v>11.2</v>
      </c>
      <c r="K33" s="16">
        <v>3</v>
      </c>
      <c r="L33" s="16">
        <v>1</v>
      </c>
      <c r="M33" s="16">
        <v>3</v>
      </c>
      <c r="N33" s="3"/>
      <c r="O33" s="16">
        <f t="shared" si="2"/>
        <v>1.9004643264490857</v>
      </c>
      <c r="P33" s="16">
        <f t="shared" si="3"/>
        <v>4.3155018257279298</v>
      </c>
    </row>
    <row r="34" spans="1:16" ht="15.75" customHeight="1" x14ac:dyDescent="0.15">
      <c r="A34" s="19">
        <v>45760</v>
      </c>
      <c r="B34" s="16">
        <v>14</v>
      </c>
      <c r="C34" s="16">
        <v>6</v>
      </c>
      <c r="D34" s="16" t="s">
        <v>17</v>
      </c>
      <c r="E34" s="3" t="s">
        <v>32</v>
      </c>
      <c r="F34" s="4">
        <v>1E-4</v>
      </c>
      <c r="G34" s="4">
        <v>2.0000000000000001E-4</v>
      </c>
      <c r="H34" s="3">
        <v>3</v>
      </c>
      <c r="I34" s="16" t="s">
        <v>49</v>
      </c>
      <c r="J34" s="16">
        <v>11.2</v>
      </c>
      <c r="K34" s="16">
        <v>3</v>
      </c>
      <c r="L34" s="16">
        <v>1</v>
      </c>
      <c r="M34" s="16">
        <v>3</v>
      </c>
      <c r="N34" s="3"/>
      <c r="O34" s="16">
        <f t="shared" si="2"/>
        <v>1.9004643264490857</v>
      </c>
      <c r="P34" s="16">
        <f t="shared" si="3"/>
        <v>4.4773895081048236</v>
      </c>
    </row>
    <row r="35" spans="1:16" ht="15.75" customHeight="1" x14ac:dyDescent="0.15">
      <c r="A35" s="19">
        <v>45760</v>
      </c>
      <c r="B35" s="16">
        <v>14</v>
      </c>
      <c r="C35" s="16">
        <v>6</v>
      </c>
      <c r="D35" s="16" t="s">
        <v>17</v>
      </c>
      <c r="E35" s="3" t="s">
        <v>28</v>
      </c>
      <c r="F35" s="16">
        <v>1000</v>
      </c>
      <c r="G35" s="16">
        <v>2000</v>
      </c>
      <c r="H35" s="3">
        <v>1</v>
      </c>
      <c r="I35" s="16" t="s">
        <v>49</v>
      </c>
      <c r="J35" s="16">
        <v>11.9</v>
      </c>
      <c r="K35" s="16">
        <v>3</v>
      </c>
      <c r="L35" s="16">
        <v>1</v>
      </c>
      <c r="M35" s="16">
        <v>3</v>
      </c>
      <c r="N35" s="3"/>
      <c r="O35" s="16">
        <f t="shared" si="2"/>
        <v>1.987927167699425</v>
      </c>
      <c r="P35" s="16">
        <f t="shared" si="3"/>
        <v>3.5139959793670128</v>
      </c>
    </row>
    <row r="36" spans="1:16" ht="15.75" customHeight="1" x14ac:dyDescent="0.15">
      <c r="A36" s="19">
        <v>45760</v>
      </c>
      <c r="B36" s="16">
        <v>14</v>
      </c>
      <c r="C36" s="16">
        <v>6</v>
      </c>
      <c r="D36" s="16" t="s">
        <v>17</v>
      </c>
      <c r="E36" s="3" t="s">
        <v>28</v>
      </c>
      <c r="F36" s="16">
        <v>1000</v>
      </c>
      <c r="G36" s="16">
        <v>2000</v>
      </c>
      <c r="H36" s="3">
        <v>2</v>
      </c>
      <c r="I36" s="16" t="s">
        <v>49</v>
      </c>
      <c r="J36" s="16">
        <v>12.8</v>
      </c>
      <c r="K36" s="16">
        <v>3</v>
      </c>
      <c r="L36" s="16">
        <v>1</v>
      </c>
      <c r="M36" s="16">
        <v>3</v>
      </c>
      <c r="N36" s="3"/>
      <c r="O36" s="16">
        <f t="shared" si="2"/>
        <v>2.0931094043914817</v>
      </c>
      <c r="P36" s="16">
        <f t="shared" si="3"/>
        <v>3.6291623046316914</v>
      </c>
    </row>
    <row r="37" spans="1:16" ht="15.75" customHeight="1" x14ac:dyDescent="0.15">
      <c r="A37" s="19">
        <v>45760</v>
      </c>
      <c r="B37" s="16">
        <v>14</v>
      </c>
      <c r="C37" s="16">
        <v>6</v>
      </c>
      <c r="D37" s="16" t="s">
        <v>17</v>
      </c>
      <c r="E37" s="3" t="s">
        <v>28</v>
      </c>
      <c r="F37" s="16">
        <v>1000</v>
      </c>
      <c r="G37" s="16">
        <v>2000</v>
      </c>
      <c r="H37" s="3">
        <v>3</v>
      </c>
      <c r="I37" s="16" t="s">
        <v>49</v>
      </c>
      <c r="J37" s="16">
        <v>12.2</v>
      </c>
      <c r="K37" s="16">
        <v>3</v>
      </c>
      <c r="L37" s="16">
        <v>1</v>
      </c>
      <c r="M37" s="16">
        <v>3</v>
      </c>
      <c r="N37" s="3"/>
      <c r="O37" s="16">
        <f t="shared" si="2"/>
        <v>2.0238467419543675</v>
      </c>
      <c r="P37" s="16">
        <f t="shared" si="3"/>
        <v>3.7019186470670054</v>
      </c>
    </row>
    <row r="38" spans="1:16" ht="15.75" customHeight="1" x14ac:dyDescent="0.15">
      <c r="A38" s="19">
        <v>45763</v>
      </c>
      <c r="B38" s="16">
        <v>17</v>
      </c>
      <c r="C38" s="16">
        <v>9</v>
      </c>
      <c r="D38" s="16" t="s">
        <v>17</v>
      </c>
      <c r="E38" s="3" t="s">
        <v>32</v>
      </c>
      <c r="F38" s="4">
        <v>1E-4</v>
      </c>
      <c r="G38" s="4">
        <v>2.0000000000000001E-4</v>
      </c>
      <c r="H38" s="3">
        <v>1</v>
      </c>
      <c r="I38" s="16" t="s">
        <v>49</v>
      </c>
      <c r="J38" s="16">
        <v>17.2</v>
      </c>
      <c r="K38" s="16">
        <v>3</v>
      </c>
      <c r="L38" s="16" t="s">
        <v>17</v>
      </c>
      <c r="M38" s="16" t="s">
        <v>17</v>
      </c>
      <c r="N38" s="3"/>
      <c r="O38" s="16">
        <f t="shared" si="2"/>
        <v>2.5193741590935796</v>
      </c>
      <c r="P38" s="16">
        <f t="shared" si="3"/>
        <v>6.6490418434294103</v>
      </c>
    </row>
    <row r="39" spans="1:16" ht="15.75" customHeight="1" x14ac:dyDescent="0.15">
      <c r="A39" s="19">
        <v>45763</v>
      </c>
      <c r="B39" s="16">
        <v>17</v>
      </c>
      <c r="C39" s="16">
        <v>9</v>
      </c>
      <c r="D39" s="16" t="s">
        <v>17</v>
      </c>
      <c r="E39" s="3" t="s">
        <v>32</v>
      </c>
      <c r="F39" s="4">
        <v>1E-4</v>
      </c>
      <c r="G39" s="4">
        <v>2.0000000000000001E-4</v>
      </c>
      <c r="H39" s="3">
        <v>2</v>
      </c>
      <c r="I39" s="16" t="s">
        <v>49</v>
      </c>
      <c r="J39" s="16">
        <v>18</v>
      </c>
      <c r="K39" s="16">
        <v>3</v>
      </c>
      <c r="L39" s="16" t="s">
        <v>17</v>
      </c>
      <c r="M39" s="16" t="s">
        <v>17</v>
      </c>
      <c r="N39" s="3"/>
      <c r="O39" s="16">
        <f t="shared" si="2"/>
        <v>2.5849625007211561</v>
      </c>
      <c r="P39" s="16">
        <f t="shared" si="3"/>
        <v>6.9004643264490859</v>
      </c>
    </row>
    <row r="40" spans="1:16" ht="15.75" customHeight="1" x14ac:dyDescent="0.15">
      <c r="A40" s="19">
        <v>45763</v>
      </c>
      <c r="B40" s="16">
        <v>17</v>
      </c>
      <c r="C40" s="16">
        <v>9</v>
      </c>
      <c r="D40" s="16" t="s">
        <v>17</v>
      </c>
      <c r="E40" s="3" t="s">
        <v>32</v>
      </c>
      <c r="F40" s="4">
        <v>1E-4</v>
      </c>
      <c r="G40" s="4">
        <v>2.0000000000000001E-4</v>
      </c>
      <c r="H40" s="3">
        <v>3</v>
      </c>
      <c r="I40" s="16" t="s">
        <v>49</v>
      </c>
      <c r="J40" s="16">
        <v>17.399999999999999</v>
      </c>
      <c r="K40" s="16">
        <v>3</v>
      </c>
      <c r="L40" s="16" t="s">
        <v>17</v>
      </c>
      <c r="M40" s="16" t="s">
        <v>17</v>
      </c>
      <c r="N40" s="3"/>
      <c r="O40" s="16">
        <f t="shared" si="2"/>
        <v>2.5360529002402097</v>
      </c>
      <c r="P40" s="16">
        <f t="shared" si="3"/>
        <v>7.0134424083450337</v>
      </c>
    </row>
    <row r="41" spans="1:16" ht="15.75" customHeight="1" x14ac:dyDescent="0.15">
      <c r="A41" s="19">
        <v>45763</v>
      </c>
      <c r="B41" s="16">
        <v>17</v>
      </c>
      <c r="C41" s="16">
        <v>9</v>
      </c>
      <c r="D41" s="16" t="s">
        <v>17</v>
      </c>
      <c r="E41" s="3" t="s">
        <v>28</v>
      </c>
      <c r="F41" s="16">
        <v>1000</v>
      </c>
      <c r="G41" s="16">
        <v>2000</v>
      </c>
      <c r="H41" s="3">
        <v>1</v>
      </c>
      <c r="I41" s="16" t="s">
        <v>49</v>
      </c>
      <c r="J41" s="16">
        <v>4.7300000000000004</v>
      </c>
      <c r="K41" s="16">
        <v>3</v>
      </c>
      <c r="L41" s="16" t="s">
        <v>17</v>
      </c>
      <c r="M41" s="16" t="s">
        <v>17</v>
      </c>
      <c r="N41" s="3"/>
      <c r="O41" s="16">
        <f t="shared" si="2"/>
        <v>0.65687768284351455</v>
      </c>
      <c r="P41" s="16">
        <f t="shared" si="3"/>
        <v>4.1708736622105276</v>
      </c>
    </row>
    <row r="42" spans="1:16" ht="15.75" customHeight="1" x14ac:dyDescent="0.15">
      <c r="A42" s="19">
        <v>45763</v>
      </c>
      <c r="B42" s="16">
        <v>17</v>
      </c>
      <c r="C42" s="16">
        <v>9</v>
      </c>
      <c r="D42" s="16" t="s">
        <v>17</v>
      </c>
      <c r="E42" s="3" t="s">
        <v>28</v>
      </c>
      <c r="F42" s="16">
        <v>1000</v>
      </c>
      <c r="G42" s="16">
        <v>2000</v>
      </c>
      <c r="H42" s="3">
        <v>2</v>
      </c>
      <c r="I42" s="16" t="s">
        <v>49</v>
      </c>
      <c r="J42" s="16">
        <v>5.14</v>
      </c>
      <c r="K42" s="16">
        <v>3</v>
      </c>
      <c r="L42" s="16" t="s">
        <v>17</v>
      </c>
      <c r="M42" s="16" t="s">
        <v>17</v>
      </c>
      <c r="N42" s="3"/>
      <c r="O42" s="16">
        <f t="shared" si="2"/>
        <v>0.77680585869799701</v>
      </c>
      <c r="P42" s="16">
        <f t="shared" si="3"/>
        <v>4.4059681633296881</v>
      </c>
    </row>
    <row r="43" spans="1:16" ht="15.75" customHeight="1" x14ac:dyDescent="0.15">
      <c r="A43" s="19">
        <v>45763</v>
      </c>
      <c r="B43" s="16">
        <v>17</v>
      </c>
      <c r="C43" s="16">
        <v>9</v>
      </c>
      <c r="D43" s="16" t="s">
        <v>17</v>
      </c>
      <c r="E43" s="3" t="s">
        <v>28</v>
      </c>
      <c r="F43" s="16">
        <v>1000</v>
      </c>
      <c r="G43" s="16">
        <v>2000</v>
      </c>
      <c r="H43" s="3">
        <v>3</v>
      </c>
      <c r="I43" s="16" t="s">
        <v>49</v>
      </c>
      <c r="J43" s="16">
        <v>5.24</v>
      </c>
      <c r="K43" s="16">
        <v>3</v>
      </c>
      <c r="L43" s="16" t="s">
        <v>17</v>
      </c>
      <c r="M43" s="16" t="s">
        <v>17</v>
      </c>
      <c r="N43" s="3"/>
      <c r="O43" s="16">
        <f t="shared" si="2"/>
        <v>0.80460431104156949</v>
      </c>
      <c r="P43" s="16">
        <f t="shared" si="3"/>
        <v>4.5065229581085751</v>
      </c>
    </row>
    <row r="44" spans="1:16" ht="15.75" customHeight="1" x14ac:dyDescent="0.15">
      <c r="A44" s="19">
        <v>45766</v>
      </c>
      <c r="B44" s="16">
        <v>20</v>
      </c>
      <c r="C44" s="16">
        <v>12</v>
      </c>
      <c r="D44" s="16" t="s">
        <v>17</v>
      </c>
      <c r="E44" s="3" t="s">
        <v>32</v>
      </c>
      <c r="F44" s="4">
        <v>1E-4</v>
      </c>
      <c r="G44" s="4">
        <v>2.0000000000000001E-4</v>
      </c>
      <c r="H44" s="3">
        <v>1</v>
      </c>
      <c r="I44" s="16" t="s">
        <v>49</v>
      </c>
      <c r="J44" s="16">
        <v>16.2</v>
      </c>
      <c r="K44" s="16">
        <v>3</v>
      </c>
      <c r="L44" s="16" t="s">
        <v>17</v>
      </c>
      <c r="M44" s="16" t="s">
        <v>17</v>
      </c>
      <c r="N44" s="3"/>
      <c r="O44" s="16">
        <f t="shared" si="2"/>
        <v>2.432959407276106</v>
      </c>
      <c r="P44" s="16">
        <f t="shared" si="3"/>
        <v>9.0820012507055168</v>
      </c>
    </row>
    <row r="45" spans="1:16" ht="15.75" customHeight="1" x14ac:dyDescent="0.15">
      <c r="A45" s="19">
        <v>45766</v>
      </c>
      <c r="B45" s="16">
        <v>20</v>
      </c>
      <c r="C45" s="16">
        <v>12</v>
      </c>
      <c r="D45" s="16" t="s">
        <v>17</v>
      </c>
      <c r="E45" s="3" t="s">
        <v>32</v>
      </c>
      <c r="F45" s="4">
        <v>1E-4</v>
      </c>
      <c r="G45" s="4">
        <v>2.0000000000000001E-4</v>
      </c>
      <c r="H45" s="3">
        <v>2</v>
      </c>
      <c r="I45" s="16" t="s">
        <v>49</v>
      </c>
      <c r="J45" s="16">
        <v>17.600000000000001</v>
      </c>
      <c r="K45" s="16">
        <v>3</v>
      </c>
      <c r="L45" s="16" t="s">
        <v>17</v>
      </c>
      <c r="M45" s="16" t="s">
        <v>17</v>
      </c>
      <c r="N45" s="3"/>
      <c r="O45" s="16">
        <f t="shared" si="2"/>
        <v>2.5525410230287791</v>
      </c>
      <c r="P45" s="16">
        <f t="shared" si="3"/>
        <v>9.4530053494778645</v>
      </c>
    </row>
    <row r="46" spans="1:16" ht="15.75" customHeight="1" x14ac:dyDescent="0.15">
      <c r="A46" s="19">
        <v>45766</v>
      </c>
      <c r="B46" s="16">
        <v>20</v>
      </c>
      <c r="C46" s="16">
        <v>12</v>
      </c>
      <c r="D46" s="16" t="s">
        <v>17</v>
      </c>
      <c r="E46" s="3" t="s">
        <v>32</v>
      </c>
      <c r="F46" s="4">
        <v>1E-4</v>
      </c>
      <c r="G46" s="4">
        <v>2.0000000000000001E-4</v>
      </c>
      <c r="H46" s="3">
        <v>3</v>
      </c>
      <c r="I46" s="16" t="s">
        <v>49</v>
      </c>
      <c r="J46" s="16">
        <v>15.6</v>
      </c>
      <c r="K46" s="16">
        <v>3</v>
      </c>
      <c r="L46" s="16" t="s">
        <v>17</v>
      </c>
      <c r="M46" s="16" t="s">
        <v>17</v>
      </c>
      <c r="N46" s="3"/>
      <c r="O46" s="16">
        <f t="shared" si="2"/>
        <v>2.37851162325373</v>
      </c>
      <c r="P46" s="16">
        <f t="shared" si="3"/>
        <v>9.3919540315987646</v>
      </c>
    </row>
    <row r="47" spans="1:16" ht="15.75" customHeight="1" x14ac:dyDescent="0.15">
      <c r="A47" s="19">
        <v>45766</v>
      </c>
      <c r="B47" s="16">
        <v>20</v>
      </c>
      <c r="C47" s="16">
        <v>12</v>
      </c>
      <c r="D47" s="16" t="s">
        <v>17</v>
      </c>
      <c r="E47" s="3" t="s">
        <v>28</v>
      </c>
      <c r="F47" s="16">
        <v>1000</v>
      </c>
      <c r="G47" s="16">
        <v>2000</v>
      </c>
      <c r="H47" s="3">
        <v>1</v>
      </c>
      <c r="I47" s="16" t="s">
        <v>49</v>
      </c>
      <c r="J47" s="16">
        <v>6.34</v>
      </c>
      <c r="K47" s="16">
        <v>3</v>
      </c>
      <c r="L47" s="16" t="s">
        <v>17</v>
      </c>
      <c r="M47" s="16" t="s">
        <v>17</v>
      </c>
      <c r="N47" s="3"/>
      <c r="O47" s="16">
        <f t="shared" si="2"/>
        <v>1.0795203396435264</v>
      </c>
      <c r="P47" s="16">
        <f t="shared" si="3"/>
        <v>5.2503940018540538</v>
      </c>
    </row>
    <row r="48" spans="1:16" ht="15.75" customHeight="1" x14ac:dyDescent="0.15">
      <c r="A48" s="19">
        <v>45766</v>
      </c>
      <c r="B48" s="16">
        <v>20</v>
      </c>
      <c r="C48" s="16">
        <v>12</v>
      </c>
      <c r="D48" s="16" t="s">
        <v>17</v>
      </c>
      <c r="E48" s="3" t="s">
        <v>28</v>
      </c>
      <c r="F48" s="16">
        <v>1000</v>
      </c>
      <c r="G48" s="16">
        <v>2000</v>
      </c>
      <c r="H48" s="3">
        <v>2</v>
      </c>
      <c r="I48" s="16" t="s">
        <v>49</v>
      </c>
      <c r="J48" s="16">
        <v>7.17</v>
      </c>
      <c r="K48" s="16">
        <v>3</v>
      </c>
      <c r="L48" s="16" t="s">
        <v>17</v>
      </c>
      <c r="M48" s="16" t="s">
        <v>17</v>
      </c>
      <c r="N48" s="3"/>
      <c r="O48" s="16">
        <f t="shared" si="2"/>
        <v>1.2570106182060239</v>
      </c>
      <c r="P48" s="16">
        <f t="shared" si="3"/>
        <v>5.6629787815357115</v>
      </c>
    </row>
    <row r="49" spans="1:16" ht="15.75" customHeight="1" x14ac:dyDescent="0.15">
      <c r="A49" s="19">
        <v>45766</v>
      </c>
      <c r="B49" s="16">
        <v>20</v>
      </c>
      <c r="C49" s="16">
        <v>12</v>
      </c>
      <c r="D49" s="16" t="s">
        <v>17</v>
      </c>
      <c r="E49" s="3" t="s">
        <v>28</v>
      </c>
      <c r="F49" s="16">
        <v>1000</v>
      </c>
      <c r="G49" s="16">
        <v>2000</v>
      </c>
      <c r="H49" s="3">
        <v>3</v>
      </c>
      <c r="I49" s="16" t="s">
        <v>49</v>
      </c>
      <c r="J49" s="16">
        <v>6.78</v>
      </c>
      <c r="K49" s="16">
        <v>3</v>
      </c>
      <c r="L49" s="16" t="s">
        <v>17</v>
      </c>
      <c r="M49" s="16" t="s">
        <v>17</v>
      </c>
      <c r="N49" s="3"/>
      <c r="O49" s="16">
        <f t="shared" si="2"/>
        <v>1.1763227726404633</v>
      </c>
      <c r="P49" s="16">
        <f t="shared" si="3"/>
        <v>5.6828457307490385</v>
      </c>
    </row>
    <row r="50" spans="1:16" ht="15.75" customHeight="1" x14ac:dyDescent="0.15">
      <c r="A50" s="19">
        <v>45766</v>
      </c>
      <c r="B50" s="16">
        <v>20</v>
      </c>
      <c r="C50" s="16">
        <v>12</v>
      </c>
      <c r="D50" s="16" t="s">
        <v>17</v>
      </c>
      <c r="E50" s="3" t="s">
        <v>28</v>
      </c>
      <c r="F50" s="16">
        <v>4000</v>
      </c>
      <c r="G50" s="16">
        <v>4000</v>
      </c>
      <c r="H50" s="3">
        <v>1</v>
      </c>
      <c r="I50" s="16" t="s">
        <v>49</v>
      </c>
      <c r="J50" s="16" t="s">
        <v>17</v>
      </c>
      <c r="K50" s="16">
        <v>3</v>
      </c>
      <c r="L50" s="16" t="s">
        <v>17</v>
      </c>
      <c r="M50" s="16" t="s">
        <v>17</v>
      </c>
      <c r="N50" s="3" t="s">
        <v>82</v>
      </c>
    </row>
    <row r="51" spans="1:16" ht="14" x14ac:dyDescent="0.15">
      <c r="A51" s="19">
        <v>45766</v>
      </c>
      <c r="B51" s="16">
        <v>20</v>
      </c>
      <c r="C51" s="16">
        <v>12</v>
      </c>
      <c r="D51" s="16" t="s">
        <v>17</v>
      </c>
      <c r="E51" s="3" t="s">
        <v>28</v>
      </c>
      <c r="F51" s="16">
        <v>4000</v>
      </c>
      <c r="G51" s="16">
        <v>4000</v>
      </c>
      <c r="H51" s="3">
        <v>2</v>
      </c>
      <c r="I51" s="16" t="s">
        <v>49</v>
      </c>
      <c r="J51" s="16" t="s">
        <v>17</v>
      </c>
      <c r="K51" s="16">
        <v>3</v>
      </c>
      <c r="L51" s="16" t="s">
        <v>17</v>
      </c>
      <c r="M51" s="16" t="s">
        <v>17</v>
      </c>
      <c r="N51" s="3"/>
    </row>
    <row r="52" spans="1:16" ht="14" x14ac:dyDescent="0.15">
      <c r="A52" s="19">
        <v>45766</v>
      </c>
      <c r="B52" s="16">
        <v>20</v>
      </c>
      <c r="C52" s="16">
        <v>12</v>
      </c>
      <c r="D52" s="16" t="s">
        <v>17</v>
      </c>
      <c r="E52" s="3" t="s">
        <v>28</v>
      </c>
      <c r="F52" s="16">
        <v>4000</v>
      </c>
      <c r="G52" s="16">
        <v>4000</v>
      </c>
      <c r="H52" s="3">
        <v>3</v>
      </c>
      <c r="I52" s="16" t="s">
        <v>49</v>
      </c>
      <c r="J52" s="16" t="s">
        <v>17</v>
      </c>
      <c r="K52" s="16">
        <v>3</v>
      </c>
      <c r="L52" s="16" t="s">
        <v>17</v>
      </c>
      <c r="M52" s="16" t="s">
        <v>17</v>
      </c>
      <c r="N52" s="3"/>
    </row>
    <row r="53" spans="1:16" ht="14" x14ac:dyDescent="0.15">
      <c r="A53" s="19">
        <v>45769</v>
      </c>
      <c r="B53" s="16">
        <v>23</v>
      </c>
      <c r="C53" s="16">
        <v>15</v>
      </c>
      <c r="D53" s="16" t="s">
        <v>17</v>
      </c>
      <c r="E53" s="3" t="s">
        <v>32</v>
      </c>
      <c r="F53" s="4">
        <v>1E-4</v>
      </c>
      <c r="G53" s="4">
        <v>2.0000000000000001E-4</v>
      </c>
      <c r="H53" s="3">
        <v>1</v>
      </c>
      <c r="I53" s="16" t="s">
        <v>49</v>
      </c>
      <c r="J53" s="16">
        <v>12.7</v>
      </c>
      <c r="K53" s="16">
        <v>3</v>
      </c>
      <c r="L53" s="16">
        <v>1</v>
      </c>
      <c r="M53" s="16">
        <v>3</v>
      </c>
      <c r="N53" s="3"/>
      <c r="O53" s="16">
        <f t="shared" ref="O53:O58" si="4">LOG(J53/3,2)</f>
        <v>2.0817940911636477</v>
      </c>
      <c r="P53" s="16">
        <f t="shared" ref="P53:P58" si="5">O53+P44</f>
        <v>11.163795341869164</v>
      </c>
    </row>
    <row r="54" spans="1:16" ht="14" x14ac:dyDescent="0.15">
      <c r="A54" s="19">
        <v>45769</v>
      </c>
      <c r="B54" s="16">
        <v>23</v>
      </c>
      <c r="C54" s="16">
        <v>15</v>
      </c>
      <c r="D54" s="16" t="s">
        <v>17</v>
      </c>
      <c r="E54" s="3" t="s">
        <v>32</v>
      </c>
      <c r="F54" s="4">
        <v>1E-4</v>
      </c>
      <c r="G54" s="4">
        <v>2.0000000000000001E-4</v>
      </c>
      <c r="H54" s="3">
        <v>2</v>
      </c>
      <c r="I54" s="16" t="s">
        <v>49</v>
      </c>
      <c r="J54" s="16">
        <v>14.7</v>
      </c>
      <c r="K54" s="16">
        <v>3</v>
      </c>
      <c r="L54" s="16">
        <v>1</v>
      </c>
      <c r="M54" s="16">
        <v>3</v>
      </c>
      <c r="N54" s="3"/>
      <c r="O54" s="16">
        <f t="shared" si="4"/>
        <v>2.2927817492278457</v>
      </c>
      <c r="P54" s="16">
        <f t="shared" si="5"/>
        <v>11.74578709870571</v>
      </c>
    </row>
    <row r="55" spans="1:16" ht="14" x14ac:dyDescent="0.15">
      <c r="A55" s="19">
        <v>45769</v>
      </c>
      <c r="B55" s="16">
        <v>23</v>
      </c>
      <c r="C55" s="16">
        <v>15</v>
      </c>
      <c r="D55" s="16" t="s">
        <v>17</v>
      </c>
      <c r="E55" s="3" t="s">
        <v>32</v>
      </c>
      <c r="F55" s="4">
        <v>1E-4</v>
      </c>
      <c r="G55" s="4">
        <v>2.0000000000000001E-4</v>
      </c>
      <c r="H55" s="3">
        <v>3</v>
      </c>
      <c r="I55" s="16" t="s">
        <v>49</v>
      </c>
      <c r="J55" s="16">
        <v>15.2</v>
      </c>
      <c r="K55" s="16">
        <v>3</v>
      </c>
      <c r="L55" s="16">
        <v>1</v>
      </c>
      <c r="M55" s="16">
        <v>3</v>
      </c>
      <c r="N55" s="3"/>
      <c r="O55" s="16">
        <f t="shared" si="4"/>
        <v>2.341036917835067</v>
      </c>
      <c r="P55" s="16">
        <f t="shared" si="5"/>
        <v>11.732990949433832</v>
      </c>
    </row>
    <row r="56" spans="1:16" ht="14" x14ac:dyDescent="0.15">
      <c r="A56" s="19">
        <v>45769</v>
      </c>
      <c r="B56" s="16">
        <v>23</v>
      </c>
      <c r="C56" s="16">
        <v>15</v>
      </c>
      <c r="D56" s="16" t="s">
        <v>17</v>
      </c>
      <c r="E56" s="3" t="s">
        <v>28</v>
      </c>
      <c r="F56" s="16">
        <v>1000</v>
      </c>
      <c r="G56" s="16">
        <v>2000</v>
      </c>
      <c r="H56" s="3">
        <v>1</v>
      </c>
      <c r="I56" s="16" t="s">
        <v>49</v>
      </c>
      <c r="J56" s="16">
        <v>6.6</v>
      </c>
      <c r="K56" s="16">
        <v>3</v>
      </c>
      <c r="L56" s="16">
        <v>1</v>
      </c>
      <c r="M56" s="16">
        <v>3</v>
      </c>
      <c r="N56" s="3"/>
      <c r="O56" s="16">
        <f t="shared" si="4"/>
        <v>1.1375035237499347</v>
      </c>
      <c r="P56" s="16">
        <f t="shared" si="5"/>
        <v>6.3878975256039885</v>
      </c>
    </row>
    <row r="57" spans="1:16" ht="14" x14ac:dyDescent="0.15">
      <c r="A57" s="19">
        <v>45769</v>
      </c>
      <c r="B57" s="16">
        <v>23</v>
      </c>
      <c r="C57" s="16">
        <v>15</v>
      </c>
      <c r="D57" s="16" t="s">
        <v>17</v>
      </c>
      <c r="E57" s="3" t="s">
        <v>28</v>
      </c>
      <c r="F57" s="16">
        <v>1000</v>
      </c>
      <c r="G57" s="16">
        <v>2000</v>
      </c>
      <c r="H57" s="3">
        <v>2</v>
      </c>
      <c r="I57" s="16" t="s">
        <v>49</v>
      </c>
      <c r="J57" s="16">
        <v>8.0500000000000007</v>
      </c>
      <c r="K57" s="16">
        <v>3</v>
      </c>
      <c r="L57" s="16">
        <v>1</v>
      </c>
      <c r="M57" s="16">
        <v>3</v>
      </c>
      <c r="N57" s="3"/>
      <c r="O57" s="16">
        <f t="shared" si="4"/>
        <v>1.4240262825060985</v>
      </c>
      <c r="P57" s="16">
        <f t="shared" si="5"/>
        <v>7.0870050640418096</v>
      </c>
    </row>
    <row r="58" spans="1:16" ht="14" x14ac:dyDescent="0.15">
      <c r="A58" s="19">
        <v>45769</v>
      </c>
      <c r="B58" s="16">
        <v>23</v>
      </c>
      <c r="C58" s="16">
        <v>15</v>
      </c>
      <c r="D58" s="16" t="s">
        <v>17</v>
      </c>
      <c r="E58" s="3" t="s">
        <v>28</v>
      </c>
      <c r="F58" s="16">
        <v>1000</v>
      </c>
      <c r="G58" s="16">
        <v>2000</v>
      </c>
      <c r="H58" s="3">
        <v>3</v>
      </c>
      <c r="I58" s="16" t="s">
        <v>49</v>
      </c>
      <c r="J58" s="16">
        <v>8</v>
      </c>
      <c r="K58" s="16">
        <v>3</v>
      </c>
      <c r="L58" s="16">
        <v>1</v>
      </c>
      <c r="M58" s="16">
        <v>3</v>
      </c>
      <c r="N58" s="3"/>
      <c r="O58" s="16">
        <f t="shared" si="4"/>
        <v>1.4150374992788437</v>
      </c>
      <c r="P58" s="16">
        <f t="shared" si="5"/>
        <v>7.0978832300278825</v>
      </c>
    </row>
    <row r="59" spans="1:16" ht="28" x14ac:dyDescent="0.15">
      <c r="A59" s="19">
        <v>45769</v>
      </c>
      <c r="B59" s="16">
        <v>23</v>
      </c>
      <c r="C59" s="16">
        <v>15</v>
      </c>
      <c r="D59" s="16" t="s">
        <v>17</v>
      </c>
      <c r="E59" s="3" t="s">
        <v>28</v>
      </c>
      <c r="F59" s="16">
        <v>4000</v>
      </c>
      <c r="G59" s="16">
        <v>0</v>
      </c>
      <c r="H59" s="3">
        <v>1</v>
      </c>
      <c r="I59" s="16" t="s">
        <v>49</v>
      </c>
      <c r="J59" s="16" t="s">
        <v>17</v>
      </c>
      <c r="K59" s="16" t="s">
        <v>17</v>
      </c>
      <c r="L59" s="16" t="s">
        <v>17</v>
      </c>
      <c r="M59" s="16" t="s">
        <v>17</v>
      </c>
      <c r="N59" s="3" t="s">
        <v>83</v>
      </c>
    </row>
    <row r="60" spans="1:16" ht="14" x14ac:dyDescent="0.15">
      <c r="A60" s="19">
        <v>45769</v>
      </c>
      <c r="B60" s="16">
        <v>23</v>
      </c>
      <c r="C60" s="16">
        <v>15</v>
      </c>
      <c r="D60" s="16" t="s">
        <v>17</v>
      </c>
      <c r="E60" s="3" t="s">
        <v>28</v>
      </c>
      <c r="F60" s="16">
        <v>4000</v>
      </c>
      <c r="G60" s="16">
        <v>0</v>
      </c>
      <c r="H60" s="3">
        <v>2</v>
      </c>
      <c r="I60" s="16" t="s">
        <v>49</v>
      </c>
      <c r="J60" s="16" t="s">
        <v>17</v>
      </c>
      <c r="K60" s="16" t="s">
        <v>17</v>
      </c>
      <c r="L60" s="16" t="s">
        <v>17</v>
      </c>
      <c r="M60" s="16" t="s">
        <v>17</v>
      </c>
      <c r="N60" s="3"/>
    </row>
    <row r="61" spans="1:16" ht="14" x14ac:dyDescent="0.15">
      <c r="A61" s="19">
        <v>45769</v>
      </c>
      <c r="B61" s="16">
        <v>23</v>
      </c>
      <c r="C61" s="16">
        <v>15</v>
      </c>
      <c r="D61" s="16" t="s">
        <v>17</v>
      </c>
      <c r="E61" s="3" t="s">
        <v>28</v>
      </c>
      <c r="F61" s="16">
        <v>4000</v>
      </c>
      <c r="G61" s="16">
        <v>0</v>
      </c>
      <c r="H61" s="3">
        <v>3</v>
      </c>
      <c r="I61" s="16" t="s">
        <v>49</v>
      </c>
      <c r="J61" s="16" t="s">
        <v>17</v>
      </c>
      <c r="K61" s="16" t="s">
        <v>17</v>
      </c>
      <c r="L61" s="16" t="s">
        <v>17</v>
      </c>
      <c r="M61" s="16" t="s">
        <v>17</v>
      </c>
      <c r="N61" s="3"/>
    </row>
    <row r="62" spans="1:16" ht="14" x14ac:dyDescent="0.15">
      <c r="A62" s="19">
        <v>45772</v>
      </c>
      <c r="B62" s="16">
        <v>26</v>
      </c>
      <c r="C62" s="16">
        <v>18</v>
      </c>
      <c r="D62" s="16" t="s">
        <v>17</v>
      </c>
      <c r="E62" s="3" t="s">
        <v>32</v>
      </c>
      <c r="F62" s="4">
        <v>1E-4</v>
      </c>
      <c r="G62" s="4">
        <v>2.0000000000000001E-4</v>
      </c>
      <c r="H62" s="3">
        <v>1</v>
      </c>
      <c r="I62" s="16" t="s">
        <v>49</v>
      </c>
      <c r="J62" s="16">
        <v>14.9</v>
      </c>
      <c r="K62" s="16">
        <v>3</v>
      </c>
      <c r="L62" s="16">
        <v>1</v>
      </c>
      <c r="M62" s="16">
        <v>3</v>
      </c>
      <c r="N62" s="3"/>
      <c r="O62" s="16">
        <f t="shared" ref="O62:O67" si="6">LOG(J62/3,2)</f>
        <v>2.3122779248536429</v>
      </c>
      <c r="P62" s="16">
        <f t="shared" ref="P62:P67" si="7">O62+P53</f>
        <v>13.476073266722807</v>
      </c>
    </row>
    <row r="63" spans="1:16" ht="14" x14ac:dyDescent="0.15">
      <c r="A63" s="19">
        <v>45772</v>
      </c>
      <c r="B63" s="16">
        <v>26</v>
      </c>
      <c r="C63" s="16">
        <v>18</v>
      </c>
      <c r="D63" s="16" t="s">
        <v>17</v>
      </c>
      <c r="E63" s="3" t="s">
        <v>32</v>
      </c>
      <c r="F63" s="4">
        <v>1E-4</v>
      </c>
      <c r="G63" s="4">
        <v>2.0000000000000001E-4</v>
      </c>
      <c r="H63" s="3">
        <v>2</v>
      </c>
      <c r="I63" s="16" t="s">
        <v>49</v>
      </c>
      <c r="J63" s="16">
        <v>13.2</v>
      </c>
      <c r="K63" s="16">
        <v>3</v>
      </c>
      <c r="L63" s="16">
        <v>1</v>
      </c>
      <c r="M63" s="16">
        <v>3</v>
      </c>
      <c r="N63" s="3"/>
      <c r="O63" s="16">
        <f t="shared" si="6"/>
        <v>2.1375035237499347</v>
      </c>
      <c r="P63" s="16">
        <f t="shared" si="7"/>
        <v>13.883290622455645</v>
      </c>
    </row>
    <row r="64" spans="1:16" ht="14" x14ac:dyDescent="0.15">
      <c r="A64" s="19">
        <v>45772</v>
      </c>
      <c r="B64" s="16">
        <v>26</v>
      </c>
      <c r="C64" s="16">
        <v>18</v>
      </c>
      <c r="D64" s="16" t="s">
        <v>17</v>
      </c>
      <c r="E64" s="3" t="s">
        <v>32</v>
      </c>
      <c r="F64" s="4">
        <v>1E-4</v>
      </c>
      <c r="G64" s="4">
        <v>2.0000000000000001E-4</v>
      </c>
      <c r="H64" s="3">
        <v>3</v>
      </c>
      <c r="I64" s="16" t="s">
        <v>49</v>
      </c>
      <c r="J64" s="16">
        <v>14</v>
      </c>
      <c r="K64" s="16">
        <v>3</v>
      </c>
      <c r="L64" s="16">
        <v>1</v>
      </c>
      <c r="M64" s="16">
        <v>3</v>
      </c>
      <c r="N64" s="3"/>
      <c r="O64" s="16">
        <f t="shared" si="6"/>
        <v>2.2223924213364481</v>
      </c>
      <c r="P64" s="16">
        <f t="shared" si="7"/>
        <v>13.95538337077028</v>
      </c>
    </row>
    <row r="65" spans="1:16" ht="14" x14ac:dyDescent="0.15">
      <c r="A65" s="19">
        <v>45772</v>
      </c>
      <c r="B65" s="16">
        <v>26</v>
      </c>
      <c r="C65" s="16">
        <v>18</v>
      </c>
      <c r="D65" s="16" t="s">
        <v>17</v>
      </c>
      <c r="E65" s="3" t="s">
        <v>28</v>
      </c>
      <c r="F65" s="16">
        <v>1000</v>
      </c>
      <c r="G65" s="16">
        <v>2000</v>
      </c>
      <c r="H65" s="3">
        <v>1</v>
      </c>
      <c r="I65" s="16" t="s">
        <v>49</v>
      </c>
      <c r="J65" s="16">
        <v>9.1199999999999992</v>
      </c>
      <c r="K65" s="16">
        <v>3</v>
      </c>
      <c r="L65" s="16">
        <v>1</v>
      </c>
      <c r="M65" s="16">
        <v>3</v>
      </c>
      <c r="N65" s="3"/>
      <c r="O65" s="16">
        <f t="shared" si="6"/>
        <v>1.6040713236688608</v>
      </c>
      <c r="P65" s="16">
        <f t="shared" si="7"/>
        <v>7.9919688492728493</v>
      </c>
    </row>
    <row r="66" spans="1:16" ht="14" x14ac:dyDescent="0.15">
      <c r="A66" s="19">
        <v>45772</v>
      </c>
      <c r="B66" s="16">
        <v>26</v>
      </c>
      <c r="C66" s="16">
        <v>18</v>
      </c>
      <c r="D66" s="16" t="s">
        <v>17</v>
      </c>
      <c r="E66" s="3" t="s">
        <v>28</v>
      </c>
      <c r="F66" s="16">
        <v>1000</v>
      </c>
      <c r="G66" s="16">
        <v>2000</v>
      </c>
      <c r="H66" s="3">
        <v>2</v>
      </c>
      <c r="I66" s="16" t="s">
        <v>49</v>
      </c>
      <c r="J66" s="16">
        <v>8.59</v>
      </c>
      <c r="K66" s="16">
        <v>3</v>
      </c>
      <c r="L66" s="16">
        <v>1</v>
      </c>
      <c r="M66" s="16">
        <v>3</v>
      </c>
      <c r="N66" s="3"/>
      <c r="O66" s="16">
        <f t="shared" si="6"/>
        <v>1.5176956306425826</v>
      </c>
      <c r="P66" s="16">
        <f t="shared" si="7"/>
        <v>8.6047006946843929</v>
      </c>
    </row>
    <row r="67" spans="1:16" ht="14" x14ac:dyDescent="0.15">
      <c r="A67" s="19">
        <v>45772</v>
      </c>
      <c r="B67" s="16">
        <v>26</v>
      </c>
      <c r="C67" s="16">
        <v>18</v>
      </c>
      <c r="D67" s="16" t="s">
        <v>17</v>
      </c>
      <c r="E67" s="3" t="s">
        <v>28</v>
      </c>
      <c r="F67" s="16">
        <v>1000</v>
      </c>
      <c r="G67" s="16">
        <v>2000</v>
      </c>
      <c r="H67" s="3">
        <v>3</v>
      </c>
      <c r="I67" s="16" t="s">
        <v>49</v>
      </c>
      <c r="J67" s="16">
        <v>6.38</v>
      </c>
      <c r="K67" s="16">
        <v>3</v>
      </c>
      <c r="L67" s="16">
        <v>1</v>
      </c>
      <c r="M67" s="16">
        <v>3</v>
      </c>
      <c r="N67" s="3"/>
      <c r="O67" s="16">
        <f t="shared" si="6"/>
        <v>1.0885939232689885</v>
      </c>
      <c r="P67" s="16">
        <f t="shared" si="7"/>
        <v>8.1864771532968703</v>
      </c>
    </row>
    <row r="68" spans="1:16" ht="42" x14ac:dyDescent="0.15">
      <c r="A68" s="19">
        <v>45772</v>
      </c>
      <c r="B68" s="16">
        <v>26</v>
      </c>
      <c r="C68" s="16">
        <v>18</v>
      </c>
      <c r="D68" s="16" t="s">
        <v>17</v>
      </c>
      <c r="E68" s="3" t="s">
        <v>28</v>
      </c>
      <c r="F68" s="16">
        <v>4000</v>
      </c>
      <c r="G68" s="18">
        <v>2000</v>
      </c>
      <c r="H68" s="3">
        <v>1</v>
      </c>
      <c r="I68" s="18" t="s">
        <v>84</v>
      </c>
      <c r="J68" s="16">
        <v>1.1599999999999999</v>
      </c>
      <c r="K68" s="16">
        <v>1.1599999999999999</v>
      </c>
      <c r="L68" s="16" t="s">
        <v>17</v>
      </c>
      <c r="M68" s="16" t="s">
        <v>17</v>
      </c>
      <c r="N68" s="3" t="s">
        <v>85</v>
      </c>
    </row>
    <row r="69" spans="1:16" ht="14" x14ac:dyDescent="0.15">
      <c r="A69" s="19">
        <v>45772</v>
      </c>
      <c r="B69" s="16">
        <v>26</v>
      </c>
      <c r="C69" s="16">
        <v>18</v>
      </c>
      <c r="D69" s="16" t="s">
        <v>17</v>
      </c>
      <c r="E69" s="3" t="s">
        <v>28</v>
      </c>
      <c r="F69" s="16">
        <v>4000</v>
      </c>
      <c r="G69" s="18">
        <v>2000</v>
      </c>
      <c r="H69" s="3">
        <v>2</v>
      </c>
      <c r="I69" s="18" t="s">
        <v>84</v>
      </c>
      <c r="J69" s="16">
        <v>1.63</v>
      </c>
      <c r="K69" s="16">
        <v>1.63</v>
      </c>
      <c r="L69" s="16" t="s">
        <v>17</v>
      </c>
      <c r="M69" s="16" t="s">
        <v>17</v>
      </c>
      <c r="N69" s="3"/>
    </row>
    <row r="70" spans="1:16" ht="14" x14ac:dyDescent="0.15">
      <c r="A70" s="19">
        <v>45772</v>
      </c>
      <c r="B70" s="16">
        <v>26</v>
      </c>
      <c r="C70" s="16">
        <v>18</v>
      </c>
      <c r="D70" s="16" t="s">
        <v>17</v>
      </c>
      <c r="E70" s="3" t="s">
        <v>28</v>
      </c>
      <c r="F70" s="16">
        <v>4000</v>
      </c>
      <c r="G70" s="18">
        <v>2000</v>
      </c>
      <c r="H70" s="3">
        <v>3</v>
      </c>
      <c r="I70" s="18" t="s">
        <v>84</v>
      </c>
      <c r="J70" s="16">
        <v>1.22</v>
      </c>
      <c r="K70" s="16">
        <v>1.22</v>
      </c>
      <c r="L70" s="16" t="s">
        <v>17</v>
      </c>
      <c r="M70" s="16" t="s">
        <v>17</v>
      </c>
      <c r="N70" s="3"/>
    </row>
    <row r="71" spans="1:16" ht="28" x14ac:dyDescent="0.15">
      <c r="A71" s="19">
        <v>45775</v>
      </c>
      <c r="B71" s="16">
        <v>29</v>
      </c>
      <c r="C71" s="16">
        <v>21</v>
      </c>
      <c r="D71" s="16" t="s">
        <v>17</v>
      </c>
      <c r="E71" s="3" t="s">
        <v>32</v>
      </c>
      <c r="F71" s="4">
        <v>1E-4</v>
      </c>
      <c r="G71" s="4">
        <v>2.0000000000000001E-4</v>
      </c>
      <c r="H71" s="3">
        <v>1</v>
      </c>
      <c r="I71" s="16" t="s">
        <v>49</v>
      </c>
      <c r="J71" s="16">
        <v>16.100000000000001</v>
      </c>
      <c r="K71" s="16" t="s">
        <v>17</v>
      </c>
      <c r="L71" s="16">
        <v>4</v>
      </c>
      <c r="M71" s="16">
        <v>3</v>
      </c>
      <c r="N71" s="3" t="s">
        <v>86</v>
      </c>
      <c r="O71" s="16">
        <f t="shared" ref="O71:O76" si="8">LOG(J71/3,2)</f>
        <v>2.4240262825060985</v>
      </c>
      <c r="P71" s="16">
        <f t="shared" ref="P71:P76" si="9">O71+P62</f>
        <v>15.900099549228905</v>
      </c>
    </row>
    <row r="72" spans="1:16" ht="14" x14ac:dyDescent="0.15">
      <c r="A72" s="19">
        <v>45775</v>
      </c>
      <c r="B72" s="16">
        <v>29</v>
      </c>
      <c r="C72" s="16">
        <v>21</v>
      </c>
      <c r="D72" s="16" t="s">
        <v>17</v>
      </c>
      <c r="E72" s="3" t="s">
        <v>32</v>
      </c>
      <c r="F72" s="4">
        <v>1E-4</v>
      </c>
      <c r="G72" s="4">
        <v>2.0000000000000001E-4</v>
      </c>
      <c r="H72" s="3">
        <v>2</v>
      </c>
      <c r="I72" s="16" t="s">
        <v>49</v>
      </c>
      <c r="J72" s="16">
        <v>17.399999999999999</v>
      </c>
      <c r="K72" s="16" t="s">
        <v>17</v>
      </c>
      <c r="L72" s="16">
        <v>4</v>
      </c>
      <c r="M72" s="16">
        <v>3</v>
      </c>
      <c r="N72" s="3"/>
      <c r="O72" s="16">
        <f t="shared" si="8"/>
        <v>2.5360529002402097</v>
      </c>
      <c r="P72" s="16">
        <f t="shared" si="9"/>
        <v>16.419343522695854</v>
      </c>
    </row>
    <row r="73" spans="1:16" ht="14" x14ac:dyDescent="0.15">
      <c r="A73" s="19">
        <v>45775</v>
      </c>
      <c r="B73" s="16">
        <v>29</v>
      </c>
      <c r="C73" s="16">
        <v>21</v>
      </c>
      <c r="D73" s="16" t="s">
        <v>17</v>
      </c>
      <c r="E73" s="3" t="s">
        <v>32</v>
      </c>
      <c r="F73" s="4">
        <v>1E-4</v>
      </c>
      <c r="G73" s="4">
        <v>2.0000000000000001E-4</v>
      </c>
      <c r="H73" s="3">
        <v>3</v>
      </c>
      <c r="I73" s="16" t="s">
        <v>49</v>
      </c>
      <c r="J73" s="16">
        <v>17.100000000000001</v>
      </c>
      <c r="K73" s="16" t="s">
        <v>17</v>
      </c>
      <c r="L73" s="16">
        <v>4</v>
      </c>
      <c r="M73" s="16">
        <v>3</v>
      </c>
      <c r="N73" s="3"/>
      <c r="O73" s="16">
        <f t="shared" si="8"/>
        <v>2.5109619192773796</v>
      </c>
      <c r="P73" s="16">
        <f t="shared" si="9"/>
        <v>16.466345290047659</v>
      </c>
    </row>
    <row r="74" spans="1:16" ht="14" x14ac:dyDescent="0.15">
      <c r="A74" s="19">
        <v>45775</v>
      </c>
      <c r="B74" s="16">
        <v>29</v>
      </c>
      <c r="C74" s="16">
        <v>21</v>
      </c>
      <c r="D74" s="16" t="s">
        <v>17</v>
      </c>
      <c r="E74" s="3" t="s">
        <v>28</v>
      </c>
      <c r="F74" s="16">
        <v>1000</v>
      </c>
      <c r="G74" s="16">
        <v>2000</v>
      </c>
      <c r="H74" s="3">
        <v>1</v>
      </c>
      <c r="I74" s="16" t="s">
        <v>49</v>
      </c>
      <c r="J74" s="16">
        <v>10.199999999999999</v>
      </c>
      <c r="K74" s="16" t="s">
        <v>17</v>
      </c>
      <c r="L74" s="16">
        <v>3</v>
      </c>
      <c r="M74" s="16">
        <v>3</v>
      </c>
      <c r="N74" s="3"/>
      <c r="O74" s="16">
        <f t="shared" si="8"/>
        <v>1.7655347463629771</v>
      </c>
      <c r="P74" s="16">
        <f t="shared" si="9"/>
        <v>9.7575035956358267</v>
      </c>
    </row>
    <row r="75" spans="1:16" ht="14" x14ac:dyDescent="0.15">
      <c r="A75" s="19">
        <v>45775</v>
      </c>
      <c r="B75" s="16">
        <v>29</v>
      </c>
      <c r="C75" s="16">
        <v>21</v>
      </c>
      <c r="D75" s="16" t="s">
        <v>17</v>
      </c>
      <c r="E75" s="3" t="s">
        <v>28</v>
      </c>
      <c r="F75" s="16">
        <v>1000</v>
      </c>
      <c r="G75" s="16">
        <v>2000</v>
      </c>
      <c r="H75" s="3">
        <v>2</v>
      </c>
      <c r="I75" s="16" t="s">
        <v>49</v>
      </c>
      <c r="J75" s="16">
        <v>8.6</v>
      </c>
      <c r="K75" s="16" t="s">
        <v>17</v>
      </c>
      <c r="L75" s="16">
        <v>3</v>
      </c>
      <c r="M75" s="16">
        <v>3</v>
      </c>
      <c r="N75" s="3"/>
      <c r="O75" s="16">
        <f t="shared" si="8"/>
        <v>1.5193741590935794</v>
      </c>
      <c r="P75" s="16">
        <f t="shared" si="9"/>
        <v>10.124074853777973</v>
      </c>
    </row>
    <row r="76" spans="1:16" ht="14" x14ac:dyDescent="0.15">
      <c r="A76" s="19">
        <v>45775</v>
      </c>
      <c r="B76" s="16">
        <v>29</v>
      </c>
      <c r="C76" s="16">
        <v>21</v>
      </c>
      <c r="D76" s="16" t="s">
        <v>17</v>
      </c>
      <c r="E76" s="3" t="s">
        <v>28</v>
      </c>
      <c r="F76" s="16">
        <v>1000</v>
      </c>
      <c r="G76" s="16">
        <v>2000</v>
      </c>
      <c r="H76" s="3">
        <v>3</v>
      </c>
      <c r="I76" s="16" t="s">
        <v>49</v>
      </c>
      <c r="J76" s="16">
        <v>10.4</v>
      </c>
      <c r="K76" s="16" t="s">
        <v>17</v>
      </c>
      <c r="L76" s="16">
        <v>3</v>
      </c>
      <c r="M76" s="16">
        <v>3</v>
      </c>
      <c r="N76" s="3"/>
      <c r="O76" s="16">
        <f t="shared" si="8"/>
        <v>1.7935491225325737</v>
      </c>
      <c r="P76" s="16">
        <f t="shared" si="9"/>
        <v>9.9800262758294433</v>
      </c>
    </row>
    <row r="77" spans="1:16" ht="28" x14ac:dyDescent="0.15">
      <c r="A77" s="19">
        <v>45775</v>
      </c>
      <c r="B77" s="16">
        <v>29</v>
      </c>
      <c r="C77" s="16">
        <v>21</v>
      </c>
      <c r="D77" s="16" t="s">
        <v>17</v>
      </c>
      <c r="E77" s="3" t="s">
        <v>28</v>
      </c>
      <c r="F77" s="16">
        <v>4000</v>
      </c>
      <c r="G77" s="18">
        <v>0</v>
      </c>
      <c r="H77" s="3">
        <v>1</v>
      </c>
      <c r="I77" s="18" t="s">
        <v>84</v>
      </c>
      <c r="J77" s="16">
        <v>1.1299999999999999</v>
      </c>
      <c r="K77" s="16">
        <v>1.1299999999999999</v>
      </c>
      <c r="N77" s="3" t="s">
        <v>87</v>
      </c>
    </row>
    <row r="78" spans="1:16" ht="42" x14ac:dyDescent="0.15">
      <c r="A78" s="19">
        <v>45775</v>
      </c>
      <c r="B78" s="16">
        <v>29</v>
      </c>
      <c r="C78" s="16">
        <v>21</v>
      </c>
      <c r="D78" s="16" t="s">
        <v>17</v>
      </c>
      <c r="E78" s="3" t="s">
        <v>28</v>
      </c>
      <c r="F78" s="16">
        <v>4000</v>
      </c>
      <c r="G78" s="18">
        <v>0</v>
      </c>
      <c r="H78" s="3">
        <v>2</v>
      </c>
      <c r="I78" s="18" t="s">
        <v>84</v>
      </c>
      <c r="J78" s="16">
        <v>1.17</v>
      </c>
      <c r="K78" s="16">
        <v>1.17</v>
      </c>
      <c r="N78" s="3" t="s">
        <v>88</v>
      </c>
    </row>
    <row r="79" spans="1:16" ht="14" x14ac:dyDescent="0.15">
      <c r="A79" s="19">
        <v>45775</v>
      </c>
      <c r="B79" s="16">
        <v>29</v>
      </c>
      <c r="C79" s="16">
        <v>21</v>
      </c>
      <c r="D79" s="16" t="s">
        <v>17</v>
      </c>
      <c r="E79" s="3" t="s">
        <v>28</v>
      </c>
      <c r="F79" s="16">
        <v>4000</v>
      </c>
      <c r="G79" s="18">
        <v>0</v>
      </c>
      <c r="H79" s="3">
        <v>3</v>
      </c>
      <c r="I79" s="18" t="s">
        <v>84</v>
      </c>
      <c r="J79" s="16">
        <v>1.1599999999999999</v>
      </c>
      <c r="K79" s="16">
        <v>1.1599999999999999</v>
      </c>
      <c r="N79" s="3"/>
    </row>
    <row r="80" spans="1:16" ht="28" x14ac:dyDescent="0.15">
      <c r="A80" s="19">
        <v>45779</v>
      </c>
      <c r="B80" s="16">
        <v>33</v>
      </c>
      <c r="C80" s="16">
        <v>25</v>
      </c>
      <c r="D80" s="16" t="s">
        <v>17</v>
      </c>
      <c r="E80" s="3" t="s">
        <v>28</v>
      </c>
      <c r="F80" s="16">
        <v>4000</v>
      </c>
      <c r="G80" s="18">
        <v>0</v>
      </c>
      <c r="H80" s="3">
        <v>1</v>
      </c>
      <c r="I80" s="18" t="s">
        <v>84</v>
      </c>
      <c r="J80" s="16">
        <v>3.24</v>
      </c>
      <c r="K80" s="16" t="s">
        <v>17</v>
      </c>
      <c r="L80" s="16">
        <v>1</v>
      </c>
      <c r="M80" s="16">
        <v>3.24</v>
      </c>
      <c r="N80" s="3" t="s">
        <v>89</v>
      </c>
    </row>
    <row r="81" spans="1:14" ht="14" x14ac:dyDescent="0.15">
      <c r="A81" s="19">
        <v>45779</v>
      </c>
      <c r="B81" s="16">
        <v>33</v>
      </c>
      <c r="C81" s="16">
        <v>25</v>
      </c>
      <c r="D81" s="16" t="s">
        <v>17</v>
      </c>
      <c r="E81" s="3" t="s">
        <v>28</v>
      </c>
      <c r="F81" s="16">
        <v>4000</v>
      </c>
      <c r="G81" s="18">
        <v>0</v>
      </c>
      <c r="H81" s="3">
        <v>2</v>
      </c>
      <c r="I81" s="18" t="s">
        <v>84</v>
      </c>
      <c r="J81" s="16">
        <v>3.8</v>
      </c>
      <c r="K81" s="16" t="s">
        <v>17</v>
      </c>
      <c r="L81" s="16">
        <v>1</v>
      </c>
      <c r="M81" s="16">
        <v>3.8</v>
      </c>
      <c r="N81" s="3"/>
    </row>
    <row r="82" spans="1:14" ht="14" x14ac:dyDescent="0.15">
      <c r="A82" s="19">
        <v>45779</v>
      </c>
      <c r="B82" s="16">
        <v>33</v>
      </c>
      <c r="C82" s="16">
        <v>25</v>
      </c>
      <c r="D82" s="16" t="s">
        <v>17</v>
      </c>
      <c r="E82" s="3" t="s">
        <v>28</v>
      </c>
      <c r="F82" s="16">
        <v>4000</v>
      </c>
      <c r="G82" s="18">
        <v>0</v>
      </c>
      <c r="H82" s="3">
        <v>3</v>
      </c>
      <c r="I82" s="18" t="s">
        <v>84</v>
      </c>
      <c r="J82" s="16">
        <v>3.34</v>
      </c>
      <c r="K82" s="16" t="s">
        <v>17</v>
      </c>
      <c r="L82" s="16">
        <v>1</v>
      </c>
      <c r="M82" s="16">
        <v>3.34</v>
      </c>
      <c r="N82" s="3"/>
    </row>
    <row r="83" spans="1:14" ht="13" x14ac:dyDescent="0.15">
      <c r="N83" s="3"/>
    </row>
    <row r="84" spans="1:14" ht="13" x14ac:dyDescent="0.15">
      <c r="N84" s="3"/>
    </row>
    <row r="85" spans="1:14" ht="13" x14ac:dyDescent="0.15">
      <c r="N85" s="3"/>
    </row>
    <row r="86" spans="1:14" ht="13" x14ac:dyDescent="0.15">
      <c r="N86" s="3"/>
    </row>
    <row r="87" spans="1:14" ht="13" x14ac:dyDescent="0.15">
      <c r="N87" s="3"/>
    </row>
    <row r="88" spans="1:14" ht="13" x14ac:dyDescent="0.15">
      <c r="N88" s="3"/>
    </row>
    <row r="89" spans="1:14" ht="13" x14ac:dyDescent="0.15">
      <c r="N89" s="3"/>
    </row>
    <row r="90" spans="1:14" ht="13" x14ac:dyDescent="0.15">
      <c r="N90" s="3"/>
    </row>
    <row r="91" spans="1:14" ht="13" x14ac:dyDescent="0.15">
      <c r="N91" s="3"/>
    </row>
    <row r="92" spans="1:14" ht="13" x14ac:dyDescent="0.15">
      <c r="N92" s="3"/>
    </row>
    <row r="93" spans="1:14" ht="13" x14ac:dyDescent="0.15">
      <c r="N93" s="3"/>
    </row>
    <row r="94" spans="1:14" ht="13" x14ac:dyDescent="0.15">
      <c r="N94" s="3"/>
    </row>
    <row r="95" spans="1:14" ht="13" x14ac:dyDescent="0.15">
      <c r="N95" s="3"/>
    </row>
    <row r="96" spans="1:14" ht="13" x14ac:dyDescent="0.15">
      <c r="N96" s="3"/>
    </row>
    <row r="97" spans="14:14" ht="13" x14ac:dyDescent="0.15">
      <c r="N97" s="3"/>
    </row>
    <row r="98" spans="14:14" ht="13" x14ac:dyDescent="0.15">
      <c r="N98" s="3"/>
    </row>
    <row r="99" spans="14:14" ht="13" x14ac:dyDescent="0.15">
      <c r="N99" s="3"/>
    </row>
    <row r="100" spans="14:14" ht="13" x14ac:dyDescent="0.15">
      <c r="N100" s="3"/>
    </row>
    <row r="101" spans="14:14" ht="13" x14ac:dyDescent="0.15">
      <c r="N101" s="3"/>
    </row>
    <row r="102" spans="14:14" ht="13" x14ac:dyDescent="0.15">
      <c r="N102" s="3"/>
    </row>
    <row r="103" spans="14:14" ht="13" x14ac:dyDescent="0.15">
      <c r="N103" s="3"/>
    </row>
    <row r="104" spans="14:14" ht="13" x14ac:dyDescent="0.15">
      <c r="N104" s="3"/>
    </row>
    <row r="105" spans="14:14" ht="13" x14ac:dyDescent="0.15">
      <c r="N105" s="3"/>
    </row>
    <row r="106" spans="14:14" ht="13" x14ac:dyDescent="0.15">
      <c r="N106" s="3"/>
    </row>
    <row r="107" spans="14:14" ht="13" x14ac:dyDescent="0.15">
      <c r="N107" s="3"/>
    </row>
    <row r="108" spans="14:14" ht="13" x14ac:dyDescent="0.15">
      <c r="N108" s="3"/>
    </row>
    <row r="109" spans="14:14" ht="13" x14ac:dyDescent="0.15">
      <c r="N109" s="3"/>
    </row>
    <row r="110" spans="14:14" ht="13" x14ac:dyDescent="0.15">
      <c r="N110" s="3"/>
    </row>
    <row r="111" spans="14:14" ht="13" x14ac:dyDescent="0.15">
      <c r="N111" s="3"/>
    </row>
    <row r="112" spans="14:14" ht="13" x14ac:dyDescent="0.15">
      <c r="N112" s="3"/>
    </row>
    <row r="113" spans="14:14" ht="13" x14ac:dyDescent="0.15">
      <c r="N113" s="3"/>
    </row>
    <row r="114" spans="14:14" ht="13" x14ac:dyDescent="0.15">
      <c r="N114" s="3"/>
    </row>
    <row r="115" spans="14:14" ht="13" x14ac:dyDescent="0.15">
      <c r="N115" s="3"/>
    </row>
    <row r="116" spans="14:14" ht="13" x14ac:dyDescent="0.15">
      <c r="N116" s="3"/>
    </row>
    <row r="117" spans="14:14" ht="13" x14ac:dyDescent="0.15">
      <c r="N117" s="3"/>
    </row>
    <row r="118" spans="14:14" ht="13" x14ac:dyDescent="0.15">
      <c r="N118" s="3"/>
    </row>
    <row r="119" spans="14:14" ht="13" x14ac:dyDescent="0.15">
      <c r="N119" s="3"/>
    </row>
    <row r="120" spans="14:14" ht="13" x14ac:dyDescent="0.15">
      <c r="N120" s="3"/>
    </row>
    <row r="121" spans="14:14" ht="13" x14ac:dyDescent="0.15">
      <c r="N121" s="3"/>
    </row>
    <row r="122" spans="14:14" ht="13" x14ac:dyDescent="0.15">
      <c r="N122" s="3"/>
    </row>
    <row r="123" spans="14:14" ht="13" x14ac:dyDescent="0.15">
      <c r="N123" s="3"/>
    </row>
    <row r="124" spans="14:14" ht="13" x14ac:dyDescent="0.15">
      <c r="N124" s="3"/>
    </row>
    <row r="125" spans="14:14" ht="13" x14ac:dyDescent="0.15">
      <c r="N125" s="3"/>
    </row>
    <row r="126" spans="14:14" ht="13" x14ac:dyDescent="0.15">
      <c r="N126" s="3"/>
    </row>
    <row r="127" spans="14:14" ht="13" x14ac:dyDescent="0.15">
      <c r="N127" s="3"/>
    </row>
    <row r="128" spans="14:14" ht="13" x14ac:dyDescent="0.15">
      <c r="N128" s="3"/>
    </row>
    <row r="129" spans="14:14" ht="13" x14ac:dyDescent="0.15">
      <c r="N129" s="3"/>
    </row>
    <row r="130" spans="14:14" ht="13" x14ac:dyDescent="0.15">
      <c r="N130" s="3"/>
    </row>
    <row r="131" spans="14:14" ht="13" x14ac:dyDescent="0.15">
      <c r="N131" s="3"/>
    </row>
    <row r="132" spans="14:14" ht="13" x14ac:dyDescent="0.15">
      <c r="N132" s="3"/>
    </row>
    <row r="133" spans="14:14" ht="13" x14ac:dyDescent="0.15">
      <c r="N133" s="3"/>
    </row>
    <row r="134" spans="14:14" ht="13" x14ac:dyDescent="0.15">
      <c r="N134" s="3"/>
    </row>
    <row r="135" spans="14:14" ht="13" x14ac:dyDescent="0.15">
      <c r="N135" s="3"/>
    </row>
    <row r="136" spans="14:14" ht="13" x14ac:dyDescent="0.15">
      <c r="N136" s="3"/>
    </row>
    <row r="137" spans="14:14" ht="13" x14ac:dyDescent="0.15">
      <c r="N137" s="3"/>
    </row>
    <row r="138" spans="14:14" ht="13" x14ac:dyDescent="0.15">
      <c r="N138" s="3"/>
    </row>
    <row r="139" spans="14:14" ht="13" x14ac:dyDescent="0.15">
      <c r="N139" s="3"/>
    </row>
    <row r="140" spans="14:14" ht="13" x14ac:dyDescent="0.15">
      <c r="N140" s="3"/>
    </row>
    <row r="141" spans="14:14" ht="13" x14ac:dyDescent="0.15">
      <c r="N141" s="3"/>
    </row>
    <row r="142" spans="14:14" ht="13" x14ac:dyDescent="0.15">
      <c r="N142" s="3"/>
    </row>
    <row r="143" spans="14:14" ht="13" x14ac:dyDescent="0.15">
      <c r="N143" s="3"/>
    </row>
    <row r="144" spans="14:14" ht="13" x14ac:dyDescent="0.15">
      <c r="N144" s="3"/>
    </row>
    <row r="145" spans="14:14" ht="13" x14ac:dyDescent="0.15">
      <c r="N145" s="3"/>
    </row>
    <row r="146" spans="14:14" ht="13" x14ac:dyDescent="0.15">
      <c r="N146" s="3"/>
    </row>
    <row r="147" spans="14:14" ht="13" x14ac:dyDescent="0.15">
      <c r="N147" s="3"/>
    </row>
    <row r="148" spans="14:14" ht="13" x14ac:dyDescent="0.15">
      <c r="N148" s="3"/>
    </row>
    <row r="149" spans="14:14" ht="13" x14ac:dyDescent="0.15">
      <c r="N149" s="3"/>
    </row>
    <row r="150" spans="14:14" ht="13" x14ac:dyDescent="0.15">
      <c r="N150" s="3"/>
    </row>
    <row r="151" spans="14:14" ht="13" x14ac:dyDescent="0.15">
      <c r="N151" s="3"/>
    </row>
    <row r="152" spans="14:14" ht="13" x14ac:dyDescent="0.15">
      <c r="N152" s="3"/>
    </row>
    <row r="153" spans="14:14" ht="13" x14ac:dyDescent="0.15">
      <c r="N153" s="3"/>
    </row>
    <row r="154" spans="14:14" ht="13" x14ac:dyDescent="0.15">
      <c r="N154" s="3"/>
    </row>
    <row r="155" spans="14:14" ht="13" x14ac:dyDescent="0.15">
      <c r="N155" s="3"/>
    </row>
    <row r="156" spans="14:14" ht="13" x14ac:dyDescent="0.15">
      <c r="N156" s="3"/>
    </row>
    <row r="157" spans="14:14" ht="13" x14ac:dyDescent="0.15">
      <c r="N157" s="3"/>
    </row>
    <row r="158" spans="14:14" ht="13" x14ac:dyDescent="0.15">
      <c r="N158" s="3"/>
    </row>
    <row r="159" spans="14:14" ht="13" x14ac:dyDescent="0.15">
      <c r="N159" s="3"/>
    </row>
    <row r="160" spans="14:14" ht="13" x14ac:dyDescent="0.15">
      <c r="N160" s="3"/>
    </row>
    <row r="161" spans="14:14" ht="13" x14ac:dyDescent="0.15">
      <c r="N161" s="3"/>
    </row>
    <row r="162" spans="14:14" ht="13" x14ac:dyDescent="0.15">
      <c r="N162" s="3"/>
    </row>
    <row r="163" spans="14:14" ht="13" x14ac:dyDescent="0.15">
      <c r="N163" s="3"/>
    </row>
    <row r="164" spans="14:14" ht="13" x14ac:dyDescent="0.15">
      <c r="N164" s="3"/>
    </row>
    <row r="165" spans="14:14" ht="13" x14ac:dyDescent="0.15">
      <c r="N165" s="3"/>
    </row>
    <row r="166" spans="14:14" ht="13" x14ac:dyDescent="0.15">
      <c r="N166" s="3"/>
    </row>
    <row r="167" spans="14:14" ht="13" x14ac:dyDescent="0.15">
      <c r="N167" s="3"/>
    </row>
    <row r="168" spans="14:14" ht="13" x14ac:dyDescent="0.15">
      <c r="N168" s="3"/>
    </row>
    <row r="169" spans="14:14" ht="13" x14ac:dyDescent="0.15">
      <c r="N169" s="3"/>
    </row>
    <row r="170" spans="14:14" ht="13" x14ac:dyDescent="0.15">
      <c r="N170" s="3"/>
    </row>
    <row r="171" spans="14:14" ht="13" x14ac:dyDescent="0.15">
      <c r="N171" s="3"/>
    </row>
    <row r="172" spans="14:14" ht="13" x14ac:dyDescent="0.15">
      <c r="N172" s="3"/>
    </row>
    <row r="173" spans="14:14" ht="13" x14ac:dyDescent="0.15">
      <c r="N173" s="3"/>
    </row>
    <row r="174" spans="14:14" ht="13" x14ac:dyDescent="0.15">
      <c r="N174" s="3"/>
    </row>
    <row r="175" spans="14:14" ht="13" x14ac:dyDescent="0.15">
      <c r="N175" s="3"/>
    </row>
    <row r="176" spans="14:14" ht="13" x14ac:dyDescent="0.15">
      <c r="N176" s="3"/>
    </row>
    <row r="177" spans="14:14" ht="13" x14ac:dyDescent="0.15">
      <c r="N177" s="3"/>
    </row>
    <row r="178" spans="14:14" ht="13" x14ac:dyDescent="0.15">
      <c r="N178" s="3"/>
    </row>
    <row r="179" spans="14:14" ht="13" x14ac:dyDescent="0.15">
      <c r="N179" s="3"/>
    </row>
    <row r="180" spans="14:14" ht="13" x14ac:dyDescent="0.15">
      <c r="N180" s="3"/>
    </row>
    <row r="181" spans="14:14" ht="13" x14ac:dyDescent="0.15">
      <c r="N181" s="3"/>
    </row>
    <row r="182" spans="14:14" ht="13" x14ac:dyDescent="0.15">
      <c r="N182" s="3"/>
    </row>
    <row r="183" spans="14:14" ht="13" x14ac:dyDescent="0.15">
      <c r="N183" s="3"/>
    </row>
    <row r="184" spans="14:14" ht="13" x14ac:dyDescent="0.15">
      <c r="N184" s="3"/>
    </row>
    <row r="185" spans="14:14" ht="13" x14ac:dyDescent="0.15">
      <c r="N185" s="3"/>
    </row>
    <row r="186" spans="14:14" ht="13" x14ac:dyDescent="0.15">
      <c r="N186" s="3"/>
    </row>
    <row r="187" spans="14:14" ht="13" x14ac:dyDescent="0.15">
      <c r="N187" s="3"/>
    </row>
    <row r="188" spans="14:14" ht="13" x14ac:dyDescent="0.15">
      <c r="N188" s="3"/>
    </row>
    <row r="189" spans="14:14" ht="13" x14ac:dyDescent="0.15">
      <c r="N189" s="3"/>
    </row>
    <row r="190" spans="14:14" ht="13" x14ac:dyDescent="0.15">
      <c r="N190" s="3"/>
    </row>
    <row r="191" spans="14:14" ht="13" x14ac:dyDescent="0.15">
      <c r="N191" s="3"/>
    </row>
    <row r="192" spans="14:14" ht="13" x14ac:dyDescent="0.15">
      <c r="N192" s="3"/>
    </row>
    <row r="193" spans="14:14" ht="13" x14ac:dyDescent="0.15">
      <c r="N193" s="3"/>
    </row>
    <row r="194" spans="14:14" ht="13" x14ac:dyDescent="0.15">
      <c r="N194" s="3"/>
    </row>
    <row r="195" spans="14:14" ht="13" x14ac:dyDescent="0.15">
      <c r="N195" s="3"/>
    </row>
    <row r="196" spans="14:14" ht="13" x14ac:dyDescent="0.15">
      <c r="N196" s="3"/>
    </row>
    <row r="197" spans="14:14" ht="13" x14ac:dyDescent="0.15">
      <c r="N197" s="3"/>
    </row>
    <row r="198" spans="14:14" ht="13" x14ac:dyDescent="0.15">
      <c r="N198" s="3"/>
    </row>
    <row r="199" spans="14:14" ht="13" x14ac:dyDescent="0.15">
      <c r="N199" s="3"/>
    </row>
    <row r="200" spans="14:14" ht="13" x14ac:dyDescent="0.15">
      <c r="N200" s="3"/>
    </row>
    <row r="201" spans="14:14" ht="13" x14ac:dyDescent="0.15">
      <c r="N201" s="3"/>
    </row>
    <row r="202" spans="14:14" ht="13" x14ac:dyDescent="0.15">
      <c r="N202" s="3"/>
    </row>
    <row r="203" spans="14:14" ht="13" x14ac:dyDescent="0.15">
      <c r="N203" s="3"/>
    </row>
    <row r="204" spans="14:14" ht="13" x14ac:dyDescent="0.15">
      <c r="N204" s="3"/>
    </row>
    <row r="205" spans="14:14" ht="13" x14ac:dyDescent="0.15">
      <c r="N205" s="3"/>
    </row>
    <row r="206" spans="14:14" ht="13" x14ac:dyDescent="0.15">
      <c r="N206" s="3"/>
    </row>
    <row r="207" spans="14:14" ht="13" x14ac:dyDescent="0.15">
      <c r="N207" s="3"/>
    </row>
    <row r="208" spans="14:14" ht="13" x14ac:dyDescent="0.15">
      <c r="N208" s="3"/>
    </row>
    <row r="209" spans="14:14" ht="13" x14ac:dyDescent="0.15">
      <c r="N209" s="3"/>
    </row>
    <row r="210" spans="14:14" ht="13" x14ac:dyDescent="0.15">
      <c r="N210" s="3"/>
    </row>
    <row r="211" spans="14:14" ht="13" x14ac:dyDescent="0.15">
      <c r="N211" s="3"/>
    </row>
    <row r="212" spans="14:14" ht="13" x14ac:dyDescent="0.15">
      <c r="N212" s="3"/>
    </row>
    <row r="213" spans="14:14" ht="13" x14ac:dyDescent="0.15">
      <c r="N213" s="3"/>
    </row>
    <row r="214" spans="14:14" ht="13" x14ac:dyDescent="0.15">
      <c r="N214" s="3"/>
    </row>
    <row r="215" spans="14:14" ht="13" x14ac:dyDescent="0.15">
      <c r="N215" s="3"/>
    </row>
    <row r="216" spans="14:14" ht="13" x14ac:dyDescent="0.15">
      <c r="N216" s="3"/>
    </row>
    <row r="217" spans="14:14" ht="13" x14ac:dyDescent="0.15">
      <c r="N217" s="3"/>
    </row>
    <row r="218" spans="14:14" ht="13" x14ac:dyDescent="0.15">
      <c r="N218" s="3"/>
    </row>
    <row r="219" spans="14:14" ht="13" x14ac:dyDescent="0.15">
      <c r="N219" s="3"/>
    </row>
    <row r="220" spans="14:14" ht="13" x14ac:dyDescent="0.15">
      <c r="N220" s="3"/>
    </row>
    <row r="221" spans="14:14" ht="13" x14ac:dyDescent="0.15">
      <c r="N221" s="3"/>
    </row>
    <row r="222" spans="14:14" ht="13" x14ac:dyDescent="0.15">
      <c r="N222" s="3"/>
    </row>
    <row r="223" spans="14:14" ht="13" x14ac:dyDescent="0.15">
      <c r="N223" s="3"/>
    </row>
    <row r="224" spans="14:14" ht="13" x14ac:dyDescent="0.15">
      <c r="N224" s="3"/>
    </row>
    <row r="225" spans="14:14" ht="13" x14ac:dyDescent="0.15">
      <c r="N225" s="3"/>
    </row>
    <row r="226" spans="14:14" ht="13" x14ac:dyDescent="0.15">
      <c r="N226" s="3"/>
    </row>
    <row r="227" spans="14:14" ht="13" x14ac:dyDescent="0.15">
      <c r="N227" s="3"/>
    </row>
    <row r="228" spans="14:14" ht="13" x14ac:dyDescent="0.15">
      <c r="N228" s="3"/>
    </row>
    <row r="229" spans="14:14" ht="13" x14ac:dyDescent="0.15">
      <c r="N229" s="3"/>
    </row>
    <row r="230" spans="14:14" ht="13" x14ac:dyDescent="0.15">
      <c r="N230" s="3"/>
    </row>
    <row r="231" spans="14:14" ht="13" x14ac:dyDescent="0.15">
      <c r="N231" s="3"/>
    </row>
    <row r="232" spans="14:14" ht="13" x14ac:dyDescent="0.15">
      <c r="N232" s="3"/>
    </row>
    <row r="233" spans="14:14" ht="13" x14ac:dyDescent="0.15">
      <c r="N233" s="3"/>
    </row>
    <row r="234" spans="14:14" ht="13" x14ac:dyDescent="0.15">
      <c r="N234" s="3"/>
    </row>
    <row r="235" spans="14:14" ht="13" x14ac:dyDescent="0.15">
      <c r="N235" s="3"/>
    </row>
    <row r="236" spans="14:14" ht="13" x14ac:dyDescent="0.15">
      <c r="N236" s="3"/>
    </row>
    <row r="237" spans="14:14" ht="13" x14ac:dyDescent="0.15">
      <c r="N237" s="3"/>
    </row>
    <row r="238" spans="14:14" ht="13" x14ac:dyDescent="0.15">
      <c r="N238" s="3"/>
    </row>
    <row r="239" spans="14:14" ht="13" x14ac:dyDescent="0.15">
      <c r="N239" s="3"/>
    </row>
    <row r="240" spans="14:14" ht="13" x14ac:dyDescent="0.15">
      <c r="N240" s="3"/>
    </row>
    <row r="241" spans="14:14" ht="13" x14ac:dyDescent="0.15">
      <c r="N241" s="3"/>
    </row>
    <row r="242" spans="14:14" ht="13" x14ac:dyDescent="0.15">
      <c r="N242" s="3"/>
    </row>
    <row r="243" spans="14:14" ht="13" x14ac:dyDescent="0.15">
      <c r="N243" s="3"/>
    </row>
    <row r="244" spans="14:14" ht="13" x14ac:dyDescent="0.15">
      <c r="N244" s="3"/>
    </row>
    <row r="245" spans="14:14" ht="13" x14ac:dyDescent="0.15">
      <c r="N245" s="3"/>
    </row>
    <row r="246" spans="14:14" ht="13" x14ac:dyDescent="0.15">
      <c r="N246" s="3"/>
    </row>
    <row r="247" spans="14:14" ht="13" x14ac:dyDescent="0.15">
      <c r="N247" s="3"/>
    </row>
    <row r="248" spans="14:14" ht="13" x14ac:dyDescent="0.15">
      <c r="N248" s="3"/>
    </row>
    <row r="249" spans="14:14" ht="13" x14ac:dyDescent="0.15">
      <c r="N249" s="3"/>
    </row>
    <row r="250" spans="14:14" ht="13" x14ac:dyDescent="0.15">
      <c r="N250" s="3"/>
    </row>
    <row r="251" spans="14:14" ht="13" x14ac:dyDescent="0.15">
      <c r="N251" s="3"/>
    </row>
    <row r="252" spans="14:14" ht="13" x14ac:dyDescent="0.15">
      <c r="N252" s="3"/>
    </row>
    <row r="253" spans="14:14" ht="13" x14ac:dyDescent="0.15">
      <c r="N253" s="3"/>
    </row>
    <row r="254" spans="14:14" ht="13" x14ac:dyDescent="0.15">
      <c r="N254" s="3"/>
    </row>
    <row r="255" spans="14:14" ht="13" x14ac:dyDescent="0.15">
      <c r="N255" s="3"/>
    </row>
    <row r="256" spans="14:14" ht="13" x14ac:dyDescent="0.15">
      <c r="N256" s="3"/>
    </row>
    <row r="257" spans="14:14" ht="13" x14ac:dyDescent="0.15">
      <c r="N257" s="3"/>
    </row>
    <row r="258" spans="14:14" ht="13" x14ac:dyDescent="0.15">
      <c r="N258" s="3"/>
    </row>
    <row r="259" spans="14:14" ht="13" x14ac:dyDescent="0.15">
      <c r="N259" s="3"/>
    </row>
    <row r="260" spans="14:14" ht="13" x14ac:dyDescent="0.15">
      <c r="N260" s="3"/>
    </row>
    <row r="261" spans="14:14" ht="13" x14ac:dyDescent="0.15">
      <c r="N261" s="3"/>
    </row>
    <row r="262" spans="14:14" ht="13" x14ac:dyDescent="0.15">
      <c r="N262" s="3"/>
    </row>
    <row r="263" spans="14:14" ht="13" x14ac:dyDescent="0.15">
      <c r="N263" s="3"/>
    </row>
    <row r="264" spans="14:14" ht="13" x14ac:dyDescent="0.15">
      <c r="N264" s="3"/>
    </row>
    <row r="265" spans="14:14" ht="13" x14ac:dyDescent="0.15">
      <c r="N265" s="3"/>
    </row>
    <row r="266" spans="14:14" ht="13" x14ac:dyDescent="0.15">
      <c r="N266" s="3"/>
    </row>
    <row r="267" spans="14:14" ht="13" x14ac:dyDescent="0.15">
      <c r="N267" s="3"/>
    </row>
    <row r="268" spans="14:14" ht="13" x14ac:dyDescent="0.15">
      <c r="N268" s="3"/>
    </row>
    <row r="269" spans="14:14" ht="13" x14ac:dyDescent="0.15">
      <c r="N269" s="3"/>
    </row>
    <row r="270" spans="14:14" ht="13" x14ac:dyDescent="0.15">
      <c r="N270" s="3"/>
    </row>
    <row r="271" spans="14:14" ht="13" x14ac:dyDescent="0.15">
      <c r="N271" s="3"/>
    </row>
    <row r="272" spans="14:14" ht="13" x14ac:dyDescent="0.15">
      <c r="N272" s="3"/>
    </row>
    <row r="273" spans="14:14" ht="13" x14ac:dyDescent="0.15">
      <c r="N273" s="3"/>
    </row>
    <row r="274" spans="14:14" ht="13" x14ac:dyDescent="0.15">
      <c r="N274" s="3"/>
    </row>
    <row r="275" spans="14:14" ht="13" x14ac:dyDescent="0.15">
      <c r="N275" s="3"/>
    </row>
    <row r="276" spans="14:14" ht="13" x14ac:dyDescent="0.15">
      <c r="N276" s="3"/>
    </row>
    <row r="277" spans="14:14" ht="13" x14ac:dyDescent="0.15">
      <c r="N277" s="3"/>
    </row>
    <row r="278" spans="14:14" ht="13" x14ac:dyDescent="0.15">
      <c r="N278" s="3"/>
    </row>
    <row r="279" spans="14:14" ht="13" x14ac:dyDescent="0.15">
      <c r="N279" s="3"/>
    </row>
    <row r="280" spans="14:14" ht="13" x14ac:dyDescent="0.15">
      <c r="N280" s="3"/>
    </row>
    <row r="281" spans="14:14" ht="13" x14ac:dyDescent="0.15">
      <c r="N281" s="3"/>
    </row>
    <row r="282" spans="14:14" ht="13" x14ac:dyDescent="0.15">
      <c r="N282" s="3"/>
    </row>
    <row r="283" spans="14:14" ht="13" x14ac:dyDescent="0.15">
      <c r="N283" s="3"/>
    </row>
    <row r="284" spans="14:14" ht="13" x14ac:dyDescent="0.15">
      <c r="N284" s="3"/>
    </row>
    <row r="285" spans="14:14" ht="13" x14ac:dyDescent="0.15">
      <c r="N285" s="3"/>
    </row>
    <row r="286" spans="14:14" ht="13" x14ac:dyDescent="0.15">
      <c r="N286" s="3"/>
    </row>
    <row r="287" spans="14:14" ht="13" x14ac:dyDescent="0.15">
      <c r="N287" s="3"/>
    </row>
    <row r="288" spans="14:14" ht="13" x14ac:dyDescent="0.15">
      <c r="N288" s="3"/>
    </row>
    <row r="289" spans="14:14" ht="13" x14ac:dyDescent="0.15">
      <c r="N289" s="3"/>
    </row>
    <row r="290" spans="14:14" ht="13" x14ac:dyDescent="0.15">
      <c r="N290" s="3"/>
    </row>
    <row r="291" spans="14:14" ht="13" x14ac:dyDescent="0.15">
      <c r="N291" s="3"/>
    </row>
    <row r="292" spans="14:14" ht="13" x14ac:dyDescent="0.15">
      <c r="N292" s="3"/>
    </row>
    <row r="293" spans="14:14" ht="13" x14ac:dyDescent="0.15">
      <c r="N293" s="3"/>
    </row>
    <row r="294" spans="14:14" ht="13" x14ac:dyDescent="0.15">
      <c r="N294" s="3"/>
    </row>
    <row r="295" spans="14:14" ht="13" x14ac:dyDescent="0.15">
      <c r="N295" s="3"/>
    </row>
    <row r="296" spans="14:14" ht="13" x14ac:dyDescent="0.15">
      <c r="N296" s="3"/>
    </row>
    <row r="297" spans="14:14" ht="13" x14ac:dyDescent="0.15">
      <c r="N297" s="3"/>
    </row>
    <row r="298" spans="14:14" ht="13" x14ac:dyDescent="0.15">
      <c r="N298" s="3"/>
    </row>
    <row r="299" spans="14:14" ht="13" x14ac:dyDescent="0.15">
      <c r="N299" s="3"/>
    </row>
    <row r="300" spans="14:14" ht="13" x14ac:dyDescent="0.15">
      <c r="N300" s="3"/>
    </row>
    <row r="301" spans="14:14" ht="13" x14ac:dyDescent="0.15">
      <c r="N301" s="3"/>
    </row>
    <row r="302" spans="14:14" ht="13" x14ac:dyDescent="0.15">
      <c r="N302" s="3"/>
    </row>
    <row r="303" spans="14:14" ht="13" x14ac:dyDescent="0.15">
      <c r="N303" s="3"/>
    </row>
    <row r="304" spans="14:14" ht="13" x14ac:dyDescent="0.15">
      <c r="N304" s="3"/>
    </row>
    <row r="305" spans="14:14" ht="13" x14ac:dyDescent="0.15">
      <c r="N305" s="3"/>
    </row>
    <row r="306" spans="14:14" ht="13" x14ac:dyDescent="0.15">
      <c r="N306" s="3"/>
    </row>
    <row r="307" spans="14:14" ht="13" x14ac:dyDescent="0.15">
      <c r="N307" s="3"/>
    </row>
    <row r="308" spans="14:14" ht="13" x14ac:dyDescent="0.15">
      <c r="N308" s="3"/>
    </row>
    <row r="309" spans="14:14" ht="13" x14ac:dyDescent="0.15">
      <c r="N309" s="3"/>
    </row>
    <row r="310" spans="14:14" ht="13" x14ac:dyDescent="0.15">
      <c r="N310" s="3"/>
    </row>
    <row r="311" spans="14:14" ht="13" x14ac:dyDescent="0.15">
      <c r="N311" s="3"/>
    </row>
    <row r="312" spans="14:14" ht="13" x14ac:dyDescent="0.15">
      <c r="N312" s="3"/>
    </row>
    <row r="313" spans="14:14" ht="13" x14ac:dyDescent="0.15">
      <c r="N313" s="3"/>
    </row>
    <row r="314" spans="14:14" ht="13" x14ac:dyDescent="0.15">
      <c r="N314" s="3"/>
    </row>
    <row r="315" spans="14:14" ht="13" x14ac:dyDescent="0.15">
      <c r="N315" s="3"/>
    </row>
    <row r="316" spans="14:14" ht="13" x14ac:dyDescent="0.15">
      <c r="N316" s="3"/>
    </row>
    <row r="317" spans="14:14" ht="13" x14ac:dyDescent="0.15">
      <c r="N317" s="3"/>
    </row>
    <row r="318" spans="14:14" ht="13" x14ac:dyDescent="0.15">
      <c r="N318" s="3"/>
    </row>
    <row r="319" spans="14:14" ht="13" x14ac:dyDescent="0.15">
      <c r="N319" s="3"/>
    </row>
    <row r="320" spans="14:14" ht="13" x14ac:dyDescent="0.15">
      <c r="N320" s="3"/>
    </row>
    <row r="321" spans="14:14" ht="13" x14ac:dyDescent="0.15">
      <c r="N321" s="3"/>
    </row>
    <row r="322" spans="14:14" ht="13" x14ac:dyDescent="0.15">
      <c r="N322" s="3"/>
    </row>
    <row r="323" spans="14:14" ht="13" x14ac:dyDescent="0.15">
      <c r="N323" s="3"/>
    </row>
    <row r="324" spans="14:14" ht="13" x14ac:dyDescent="0.15">
      <c r="N324" s="3"/>
    </row>
    <row r="325" spans="14:14" ht="13" x14ac:dyDescent="0.15">
      <c r="N325" s="3"/>
    </row>
    <row r="326" spans="14:14" ht="13" x14ac:dyDescent="0.15">
      <c r="N326" s="3"/>
    </row>
    <row r="327" spans="14:14" ht="13" x14ac:dyDescent="0.15">
      <c r="N327" s="3"/>
    </row>
    <row r="328" spans="14:14" ht="13" x14ac:dyDescent="0.15">
      <c r="N328" s="3"/>
    </row>
    <row r="329" spans="14:14" ht="13" x14ac:dyDescent="0.15">
      <c r="N329" s="3"/>
    </row>
    <row r="330" spans="14:14" ht="13" x14ac:dyDescent="0.15">
      <c r="N330" s="3"/>
    </row>
    <row r="331" spans="14:14" ht="13" x14ac:dyDescent="0.15">
      <c r="N331" s="3"/>
    </row>
    <row r="332" spans="14:14" ht="13" x14ac:dyDescent="0.15">
      <c r="N332" s="3"/>
    </row>
    <row r="333" spans="14:14" ht="13" x14ac:dyDescent="0.15">
      <c r="N333" s="3"/>
    </row>
    <row r="334" spans="14:14" ht="13" x14ac:dyDescent="0.15">
      <c r="N334" s="3"/>
    </row>
    <row r="335" spans="14:14" ht="13" x14ac:dyDescent="0.15">
      <c r="N335" s="3"/>
    </row>
    <row r="336" spans="14:14" ht="13" x14ac:dyDescent="0.15">
      <c r="N336" s="3"/>
    </row>
    <row r="337" spans="14:14" ht="13" x14ac:dyDescent="0.15">
      <c r="N337" s="3"/>
    </row>
    <row r="338" spans="14:14" ht="13" x14ac:dyDescent="0.15">
      <c r="N338" s="3"/>
    </row>
    <row r="339" spans="14:14" ht="13" x14ac:dyDescent="0.15">
      <c r="N339" s="3"/>
    </row>
    <row r="340" spans="14:14" ht="13" x14ac:dyDescent="0.15">
      <c r="N340" s="3"/>
    </row>
    <row r="341" spans="14:14" ht="13" x14ac:dyDescent="0.15">
      <c r="N341" s="3"/>
    </row>
    <row r="342" spans="14:14" ht="13" x14ac:dyDescent="0.15">
      <c r="N342" s="3"/>
    </row>
    <row r="343" spans="14:14" ht="13" x14ac:dyDescent="0.15">
      <c r="N343" s="3"/>
    </row>
    <row r="344" spans="14:14" ht="13" x14ac:dyDescent="0.15">
      <c r="N344" s="3"/>
    </row>
    <row r="345" spans="14:14" ht="13" x14ac:dyDescent="0.15">
      <c r="N345" s="3"/>
    </row>
    <row r="346" spans="14:14" ht="13" x14ac:dyDescent="0.15">
      <c r="N346" s="3"/>
    </row>
    <row r="347" spans="14:14" ht="13" x14ac:dyDescent="0.15">
      <c r="N347" s="3"/>
    </row>
    <row r="348" spans="14:14" ht="13" x14ac:dyDescent="0.15">
      <c r="N348" s="3"/>
    </row>
    <row r="349" spans="14:14" ht="13" x14ac:dyDescent="0.15">
      <c r="N349" s="3"/>
    </row>
    <row r="350" spans="14:14" ht="13" x14ac:dyDescent="0.15">
      <c r="N350" s="3"/>
    </row>
    <row r="351" spans="14:14" ht="13" x14ac:dyDescent="0.15">
      <c r="N351" s="3"/>
    </row>
    <row r="352" spans="14:14" ht="13" x14ac:dyDescent="0.15">
      <c r="N352" s="3"/>
    </row>
    <row r="353" spans="14:14" ht="13" x14ac:dyDescent="0.15">
      <c r="N353" s="3"/>
    </row>
    <row r="354" spans="14:14" ht="13" x14ac:dyDescent="0.15">
      <c r="N354" s="3"/>
    </row>
    <row r="355" spans="14:14" ht="13" x14ac:dyDescent="0.15">
      <c r="N355" s="3"/>
    </row>
    <row r="356" spans="14:14" ht="13" x14ac:dyDescent="0.15">
      <c r="N356" s="3"/>
    </row>
    <row r="357" spans="14:14" ht="13" x14ac:dyDescent="0.15">
      <c r="N357" s="3"/>
    </row>
    <row r="358" spans="14:14" ht="13" x14ac:dyDescent="0.15">
      <c r="N358" s="3"/>
    </row>
    <row r="359" spans="14:14" ht="13" x14ac:dyDescent="0.15">
      <c r="N359" s="3"/>
    </row>
    <row r="360" spans="14:14" ht="13" x14ac:dyDescent="0.15">
      <c r="N360" s="3"/>
    </row>
    <row r="361" spans="14:14" ht="13" x14ac:dyDescent="0.15">
      <c r="N361" s="3"/>
    </row>
    <row r="362" spans="14:14" ht="13" x14ac:dyDescent="0.15">
      <c r="N362" s="3"/>
    </row>
    <row r="363" spans="14:14" ht="13" x14ac:dyDescent="0.15">
      <c r="N363" s="3"/>
    </row>
    <row r="364" spans="14:14" ht="13" x14ac:dyDescent="0.15">
      <c r="N364" s="3"/>
    </row>
    <row r="365" spans="14:14" ht="13" x14ac:dyDescent="0.15">
      <c r="N365" s="3"/>
    </row>
    <row r="366" spans="14:14" ht="13" x14ac:dyDescent="0.15">
      <c r="N366" s="3"/>
    </row>
    <row r="367" spans="14:14" ht="13" x14ac:dyDescent="0.15">
      <c r="N367" s="3"/>
    </row>
    <row r="368" spans="14:14" ht="13" x14ac:dyDescent="0.15">
      <c r="N368" s="3"/>
    </row>
    <row r="369" spans="14:14" ht="13" x14ac:dyDescent="0.15">
      <c r="N369" s="3"/>
    </row>
    <row r="370" spans="14:14" ht="13" x14ac:dyDescent="0.15">
      <c r="N370" s="3"/>
    </row>
    <row r="371" spans="14:14" ht="13" x14ac:dyDescent="0.15">
      <c r="N371" s="3"/>
    </row>
    <row r="372" spans="14:14" ht="13" x14ac:dyDescent="0.15">
      <c r="N372" s="3"/>
    </row>
    <row r="373" spans="14:14" ht="13" x14ac:dyDescent="0.15">
      <c r="N373" s="3"/>
    </row>
    <row r="374" spans="14:14" ht="13" x14ac:dyDescent="0.15">
      <c r="N374" s="3"/>
    </row>
    <row r="375" spans="14:14" ht="13" x14ac:dyDescent="0.15">
      <c r="N375" s="3"/>
    </row>
    <row r="376" spans="14:14" ht="13" x14ac:dyDescent="0.15">
      <c r="N376" s="3"/>
    </row>
    <row r="377" spans="14:14" ht="13" x14ac:dyDescent="0.15">
      <c r="N377" s="3"/>
    </row>
    <row r="378" spans="14:14" ht="13" x14ac:dyDescent="0.15">
      <c r="N378" s="3"/>
    </row>
    <row r="379" spans="14:14" ht="13" x14ac:dyDescent="0.15">
      <c r="N379" s="3"/>
    </row>
    <row r="380" spans="14:14" ht="13" x14ac:dyDescent="0.15">
      <c r="N380" s="3"/>
    </row>
    <row r="381" spans="14:14" ht="13" x14ac:dyDescent="0.15">
      <c r="N381" s="3"/>
    </row>
    <row r="382" spans="14:14" ht="13" x14ac:dyDescent="0.15">
      <c r="N382" s="3"/>
    </row>
    <row r="383" spans="14:14" ht="13" x14ac:dyDescent="0.15">
      <c r="N383" s="3"/>
    </row>
    <row r="384" spans="14:14" ht="13" x14ac:dyDescent="0.15">
      <c r="N384" s="3"/>
    </row>
    <row r="385" spans="14:14" ht="13" x14ac:dyDescent="0.15">
      <c r="N385" s="3"/>
    </row>
    <row r="386" spans="14:14" ht="13" x14ac:dyDescent="0.15">
      <c r="N386" s="3"/>
    </row>
    <row r="387" spans="14:14" ht="13" x14ac:dyDescent="0.15">
      <c r="N387" s="3"/>
    </row>
    <row r="388" spans="14:14" ht="13" x14ac:dyDescent="0.15">
      <c r="N388" s="3"/>
    </row>
    <row r="389" spans="14:14" ht="13" x14ac:dyDescent="0.15">
      <c r="N389" s="3"/>
    </row>
    <row r="390" spans="14:14" ht="13" x14ac:dyDescent="0.15">
      <c r="N390" s="3"/>
    </row>
    <row r="391" spans="14:14" ht="13" x14ac:dyDescent="0.15">
      <c r="N391" s="3"/>
    </row>
    <row r="392" spans="14:14" ht="13" x14ac:dyDescent="0.15">
      <c r="N392" s="3"/>
    </row>
    <row r="393" spans="14:14" ht="13" x14ac:dyDescent="0.15">
      <c r="N393" s="3"/>
    </row>
    <row r="394" spans="14:14" ht="13" x14ac:dyDescent="0.15">
      <c r="N394" s="3"/>
    </row>
    <row r="395" spans="14:14" ht="13" x14ac:dyDescent="0.15">
      <c r="N395" s="3"/>
    </row>
    <row r="396" spans="14:14" ht="13" x14ac:dyDescent="0.15">
      <c r="N396" s="3"/>
    </row>
    <row r="397" spans="14:14" ht="13" x14ac:dyDescent="0.15">
      <c r="N397" s="3"/>
    </row>
    <row r="398" spans="14:14" ht="13" x14ac:dyDescent="0.15">
      <c r="N398" s="3"/>
    </row>
    <row r="399" spans="14:14" ht="13" x14ac:dyDescent="0.15">
      <c r="N399" s="3"/>
    </row>
    <row r="400" spans="14:14" ht="13" x14ac:dyDescent="0.15">
      <c r="N400" s="3"/>
    </row>
    <row r="401" spans="14:14" ht="13" x14ac:dyDescent="0.15">
      <c r="N401" s="3"/>
    </row>
    <row r="402" spans="14:14" ht="13" x14ac:dyDescent="0.15">
      <c r="N402" s="3"/>
    </row>
    <row r="403" spans="14:14" ht="13" x14ac:dyDescent="0.15">
      <c r="N403" s="3"/>
    </row>
    <row r="404" spans="14:14" ht="13" x14ac:dyDescent="0.15">
      <c r="N404" s="3"/>
    </row>
    <row r="405" spans="14:14" ht="13" x14ac:dyDescent="0.15">
      <c r="N405" s="3"/>
    </row>
    <row r="406" spans="14:14" ht="13" x14ac:dyDescent="0.15">
      <c r="N406" s="3"/>
    </row>
    <row r="407" spans="14:14" ht="13" x14ac:dyDescent="0.15">
      <c r="N407" s="3"/>
    </row>
    <row r="408" spans="14:14" ht="13" x14ac:dyDescent="0.15">
      <c r="N408" s="3"/>
    </row>
    <row r="409" spans="14:14" ht="13" x14ac:dyDescent="0.15">
      <c r="N409" s="3"/>
    </row>
    <row r="410" spans="14:14" ht="13" x14ac:dyDescent="0.15">
      <c r="N410" s="3"/>
    </row>
    <row r="411" spans="14:14" ht="13" x14ac:dyDescent="0.15">
      <c r="N411" s="3"/>
    </row>
    <row r="412" spans="14:14" ht="13" x14ac:dyDescent="0.15">
      <c r="N412" s="3"/>
    </row>
    <row r="413" spans="14:14" ht="13" x14ac:dyDescent="0.15">
      <c r="N413" s="3"/>
    </row>
    <row r="414" spans="14:14" ht="13" x14ac:dyDescent="0.15">
      <c r="N414" s="3"/>
    </row>
    <row r="415" spans="14:14" ht="13" x14ac:dyDescent="0.15">
      <c r="N415" s="3"/>
    </row>
    <row r="416" spans="14:14" ht="13" x14ac:dyDescent="0.15">
      <c r="N416" s="3"/>
    </row>
    <row r="417" spans="14:14" ht="13" x14ac:dyDescent="0.15">
      <c r="N417" s="3"/>
    </row>
    <row r="418" spans="14:14" ht="13" x14ac:dyDescent="0.15">
      <c r="N418" s="3"/>
    </row>
    <row r="419" spans="14:14" ht="13" x14ac:dyDescent="0.15">
      <c r="N419" s="3"/>
    </row>
    <row r="420" spans="14:14" ht="13" x14ac:dyDescent="0.15">
      <c r="N420" s="3"/>
    </row>
    <row r="421" spans="14:14" ht="13" x14ac:dyDescent="0.15">
      <c r="N421" s="3"/>
    </row>
    <row r="422" spans="14:14" ht="13" x14ac:dyDescent="0.15">
      <c r="N422" s="3"/>
    </row>
    <row r="423" spans="14:14" ht="13" x14ac:dyDescent="0.15">
      <c r="N423" s="3"/>
    </row>
    <row r="424" spans="14:14" ht="13" x14ac:dyDescent="0.15">
      <c r="N424" s="3"/>
    </row>
    <row r="425" spans="14:14" ht="13" x14ac:dyDescent="0.15">
      <c r="N425" s="3"/>
    </row>
    <row r="426" spans="14:14" ht="13" x14ac:dyDescent="0.15">
      <c r="N426" s="3"/>
    </row>
    <row r="427" spans="14:14" ht="13" x14ac:dyDescent="0.15">
      <c r="N427" s="3"/>
    </row>
    <row r="428" spans="14:14" ht="13" x14ac:dyDescent="0.15">
      <c r="N428" s="3"/>
    </row>
    <row r="429" spans="14:14" ht="13" x14ac:dyDescent="0.15">
      <c r="N429" s="3"/>
    </row>
    <row r="430" spans="14:14" ht="13" x14ac:dyDescent="0.15">
      <c r="N430" s="3"/>
    </row>
    <row r="431" spans="14:14" ht="13" x14ac:dyDescent="0.15">
      <c r="N431" s="3"/>
    </row>
    <row r="432" spans="14:14" ht="13" x14ac:dyDescent="0.15">
      <c r="N432" s="3"/>
    </row>
    <row r="433" spans="14:14" ht="13" x14ac:dyDescent="0.15">
      <c r="N433" s="3"/>
    </row>
    <row r="434" spans="14:14" ht="13" x14ac:dyDescent="0.15">
      <c r="N434" s="3"/>
    </row>
    <row r="435" spans="14:14" ht="13" x14ac:dyDescent="0.15">
      <c r="N435" s="3"/>
    </row>
    <row r="436" spans="14:14" ht="13" x14ac:dyDescent="0.15">
      <c r="N436" s="3"/>
    </row>
    <row r="437" spans="14:14" ht="13" x14ac:dyDescent="0.15">
      <c r="N437" s="3"/>
    </row>
    <row r="438" spans="14:14" ht="13" x14ac:dyDescent="0.15">
      <c r="N438" s="3"/>
    </row>
    <row r="439" spans="14:14" ht="13" x14ac:dyDescent="0.15">
      <c r="N439" s="3"/>
    </row>
    <row r="440" spans="14:14" ht="13" x14ac:dyDescent="0.15">
      <c r="N440" s="3"/>
    </row>
    <row r="441" spans="14:14" ht="13" x14ac:dyDescent="0.15">
      <c r="N441" s="3"/>
    </row>
    <row r="442" spans="14:14" ht="13" x14ac:dyDescent="0.15">
      <c r="N442" s="3"/>
    </row>
    <row r="443" spans="14:14" ht="13" x14ac:dyDescent="0.15">
      <c r="N443" s="3"/>
    </row>
    <row r="444" spans="14:14" ht="13" x14ac:dyDescent="0.15">
      <c r="N444" s="3"/>
    </row>
    <row r="445" spans="14:14" ht="13" x14ac:dyDescent="0.15">
      <c r="N445" s="3"/>
    </row>
    <row r="446" spans="14:14" ht="13" x14ac:dyDescent="0.15">
      <c r="N446" s="3"/>
    </row>
    <row r="447" spans="14:14" ht="13" x14ac:dyDescent="0.15">
      <c r="N447" s="3"/>
    </row>
    <row r="448" spans="14:14" ht="13" x14ac:dyDescent="0.15">
      <c r="N448" s="3"/>
    </row>
    <row r="449" spans="14:14" ht="13" x14ac:dyDescent="0.15">
      <c r="N449" s="3"/>
    </row>
    <row r="450" spans="14:14" ht="13" x14ac:dyDescent="0.15">
      <c r="N450" s="3"/>
    </row>
    <row r="451" spans="14:14" ht="13" x14ac:dyDescent="0.15">
      <c r="N451" s="3"/>
    </row>
    <row r="452" spans="14:14" ht="13" x14ac:dyDescent="0.15">
      <c r="N452" s="3"/>
    </row>
    <row r="453" spans="14:14" ht="13" x14ac:dyDescent="0.15">
      <c r="N453" s="3"/>
    </row>
    <row r="454" spans="14:14" ht="13" x14ac:dyDescent="0.15">
      <c r="N454" s="3"/>
    </row>
    <row r="455" spans="14:14" ht="13" x14ac:dyDescent="0.15">
      <c r="N455" s="3"/>
    </row>
    <row r="456" spans="14:14" ht="13" x14ac:dyDescent="0.15">
      <c r="N456" s="3"/>
    </row>
    <row r="457" spans="14:14" ht="13" x14ac:dyDescent="0.15">
      <c r="N457" s="3"/>
    </row>
    <row r="458" spans="14:14" ht="13" x14ac:dyDescent="0.15">
      <c r="N458" s="3"/>
    </row>
    <row r="459" spans="14:14" ht="13" x14ac:dyDescent="0.15">
      <c r="N459" s="3"/>
    </row>
    <row r="460" spans="14:14" ht="13" x14ac:dyDescent="0.15">
      <c r="N460" s="3"/>
    </row>
    <row r="461" spans="14:14" ht="13" x14ac:dyDescent="0.15">
      <c r="N461" s="3"/>
    </row>
    <row r="462" spans="14:14" ht="13" x14ac:dyDescent="0.15">
      <c r="N462" s="3"/>
    </row>
    <row r="463" spans="14:14" ht="13" x14ac:dyDescent="0.15">
      <c r="N463" s="3"/>
    </row>
    <row r="464" spans="14:14" ht="13" x14ac:dyDescent="0.15">
      <c r="N464" s="3"/>
    </row>
    <row r="465" spans="14:14" ht="13" x14ac:dyDescent="0.15">
      <c r="N465" s="3"/>
    </row>
    <row r="466" spans="14:14" ht="13" x14ac:dyDescent="0.15">
      <c r="N466" s="3"/>
    </row>
    <row r="467" spans="14:14" ht="13" x14ac:dyDescent="0.15">
      <c r="N467" s="3"/>
    </row>
    <row r="468" spans="14:14" ht="13" x14ac:dyDescent="0.15">
      <c r="N468" s="3"/>
    </row>
    <row r="469" spans="14:14" ht="13" x14ac:dyDescent="0.15">
      <c r="N469" s="3"/>
    </row>
    <row r="470" spans="14:14" ht="13" x14ac:dyDescent="0.15">
      <c r="N470" s="3"/>
    </row>
    <row r="471" spans="14:14" ht="13" x14ac:dyDescent="0.15">
      <c r="N471" s="3"/>
    </row>
    <row r="472" spans="14:14" ht="13" x14ac:dyDescent="0.15">
      <c r="N472" s="3"/>
    </row>
    <row r="473" spans="14:14" ht="13" x14ac:dyDescent="0.15">
      <c r="N473" s="3"/>
    </row>
    <row r="474" spans="14:14" ht="13" x14ac:dyDescent="0.15">
      <c r="N474" s="3"/>
    </row>
    <row r="475" spans="14:14" ht="13" x14ac:dyDescent="0.15">
      <c r="N475" s="3"/>
    </row>
    <row r="476" spans="14:14" ht="13" x14ac:dyDescent="0.15">
      <c r="N476" s="3"/>
    </row>
    <row r="477" spans="14:14" ht="13" x14ac:dyDescent="0.15">
      <c r="N477" s="3"/>
    </row>
    <row r="478" spans="14:14" ht="13" x14ac:dyDescent="0.15">
      <c r="N478" s="3"/>
    </row>
    <row r="479" spans="14:14" ht="13" x14ac:dyDescent="0.15">
      <c r="N479" s="3"/>
    </row>
    <row r="480" spans="14:14" ht="13" x14ac:dyDescent="0.15">
      <c r="N480" s="3"/>
    </row>
    <row r="481" spans="14:14" ht="13" x14ac:dyDescent="0.15">
      <c r="N481" s="3"/>
    </row>
    <row r="482" spans="14:14" ht="13" x14ac:dyDescent="0.15">
      <c r="N482" s="3"/>
    </row>
    <row r="483" spans="14:14" ht="13" x14ac:dyDescent="0.15">
      <c r="N483" s="3"/>
    </row>
    <row r="484" spans="14:14" ht="13" x14ac:dyDescent="0.15">
      <c r="N484" s="3"/>
    </row>
    <row r="485" spans="14:14" ht="13" x14ac:dyDescent="0.15">
      <c r="N485" s="3"/>
    </row>
    <row r="486" spans="14:14" ht="13" x14ac:dyDescent="0.15">
      <c r="N486" s="3"/>
    </row>
    <row r="487" spans="14:14" ht="13" x14ac:dyDescent="0.15">
      <c r="N487" s="3"/>
    </row>
    <row r="488" spans="14:14" ht="13" x14ac:dyDescent="0.15">
      <c r="N488" s="3"/>
    </row>
    <row r="489" spans="14:14" ht="13" x14ac:dyDescent="0.15">
      <c r="N489" s="3"/>
    </row>
    <row r="490" spans="14:14" ht="13" x14ac:dyDescent="0.15">
      <c r="N490" s="3"/>
    </row>
    <row r="491" spans="14:14" ht="13" x14ac:dyDescent="0.15">
      <c r="N491" s="3"/>
    </row>
    <row r="492" spans="14:14" ht="13" x14ac:dyDescent="0.15">
      <c r="N492" s="3"/>
    </row>
    <row r="493" spans="14:14" ht="13" x14ac:dyDescent="0.15">
      <c r="N493" s="3"/>
    </row>
    <row r="494" spans="14:14" ht="13" x14ac:dyDescent="0.15">
      <c r="N494" s="3"/>
    </row>
    <row r="495" spans="14:14" ht="13" x14ac:dyDescent="0.15">
      <c r="N495" s="3"/>
    </row>
    <row r="496" spans="14:14" ht="13" x14ac:dyDescent="0.15">
      <c r="N496" s="3"/>
    </row>
    <row r="497" spans="14:14" ht="13" x14ac:dyDescent="0.15">
      <c r="N497" s="3"/>
    </row>
    <row r="498" spans="14:14" ht="13" x14ac:dyDescent="0.15">
      <c r="N498" s="3"/>
    </row>
    <row r="499" spans="14:14" ht="13" x14ac:dyDescent="0.15">
      <c r="N499" s="3"/>
    </row>
    <row r="500" spans="14:14" ht="13" x14ac:dyDescent="0.15">
      <c r="N500" s="3"/>
    </row>
    <row r="501" spans="14:14" ht="13" x14ac:dyDescent="0.15">
      <c r="N501" s="3"/>
    </row>
    <row r="502" spans="14:14" ht="13" x14ac:dyDescent="0.15">
      <c r="N502" s="3"/>
    </row>
    <row r="503" spans="14:14" ht="13" x14ac:dyDescent="0.15">
      <c r="N503" s="3"/>
    </row>
    <row r="504" spans="14:14" ht="13" x14ac:dyDescent="0.15">
      <c r="N504" s="3"/>
    </row>
    <row r="505" spans="14:14" ht="13" x14ac:dyDescent="0.15">
      <c r="N505" s="3"/>
    </row>
    <row r="506" spans="14:14" ht="13" x14ac:dyDescent="0.15">
      <c r="N506" s="3"/>
    </row>
    <row r="507" spans="14:14" ht="13" x14ac:dyDescent="0.15">
      <c r="N507" s="3"/>
    </row>
    <row r="508" spans="14:14" ht="13" x14ac:dyDescent="0.15">
      <c r="N508" s="3"/>
    </row>
    <row r="509" spans="14:14" ht="13" x14ac:dyDescent="0.15">
      <c r="N509" s="3"/>
    </row>
    <row r="510" spans="14:14" ht="13" x14ac:dyDescent="0.15">
      <c r="N510" s="3"/>
    </row>
    <row r="511" spans="14:14" ht="13" x14ac:dyDescent="0.15">
      <c r="N511" s="3"/>
    </row>
    <row r="512" spans="14:14" ht="13" x14ac:dyDescent="0.15">
      <c r="N512" s="3"/>
    </row>
    <row r="513" spans="14:14" ht="13" x14ac:dyDescent="0.15">
      <c r="N513" s="3"/>
    </row>
    <row r="514" spans="14:14" ht="13" x14ac:dyDescent="0.15">
      <c r="N514" s="3"/>
    </row>
    <row r="515" spans="14:14" ht="13" x14ac:dyDescent="0.15">
      <c r="N515" s="3"/>
    </row>
    <row r="516" spans="14:14" ht="13" x14ac:dyDescent="0.15">
      <c r="N516" s="3"/>
    </row>
    <row r="517" spans="14:14" ht="13" x14ac:dyDescent="0.15">
      <c r="N517" s="3"/>
    </row>
    <row r="518" spans="14:14" ht="13" x14ac:dyDescent="0.15">
      <c r="N518" s="3"/>
    </row>
    <row r="519" spans="14:14" ht="13" x14ac:dyDescent="0.15">
      <c r="N519" s="3"/>
    </row>
    <row r="520" spans="14:14" ht="13" x14ac:dyDescent="0.15">
      <c r="N520" s="3"/>
    </row>
    <row r="521" spans="14:14" ht="13" x14ac:dyDescent="0.15">
      <c r="N521" s="3"/>
    </row>
    <row r="522" spans="14:14" ht="13" x14ac:dyDescent="0.15">
      <c r="N522" s="3"/>
    </row>
    <row r="523" spans="14:14" ht="13" x14ac:dyDescent="0.15">
      <c r="N523" s="3"/>
    </row>
    <row r="524" spans="14:14" ht="13" x14ac:dyDescent="0.15">
      <c r="N524" s="3"/>
    </row>
    <row r="525" spans="14:14" ht="13" x14ac:dyDescent="0.15">
      <c r="N525" s="3"/>
    </row>
    <row r="526" spans="14:14" ht="13" x14ac:dyDescent="0.15">
      <c r="N526" s="3"/>
    </row>
    <row r="527" spans="14:14" ht="13" x14ac:dyDescent="0.15">
      <c r="N527" s="3"/>
    </row>
    <row r="528" spans="14:14" ht="13" x14ac:dyDescent="0.15">
      <c r="N528" s="3"/>
    </row>
    <row r="529" spans="14:14" ht="13" x14ac:dyDescent="0.15">
      <c r="N529" s="3"/>
    </row>
    <row r="530" spans="14:14" ht="13" x14ac:dyDescent="0.15">
      <c r="N530" s="3"/>
    </row>
    <row r="531" spans="14:14" ht="13" x14ac:dyDescent="0.15">
      <c r="N531" s="3"/>
    </row>
    <row r="532" spans="14:14" ht="13" x14ac:dyDescent="0.15">
      <c r="N532" s="3"/>
    </row>
    <row r="533" spans="14:14" ht="13" x14ac:dyDescent="0.15">
      <c r="N533" s="3"/>
    </row>
    <row r="534" spans="14:14" ht="13" x14ac:dyDescent="0.15">
      <c r="N534" s="3"/>
    </row>
    <row r="535" spans="14:14" ht="13" x14ac:dyDescent="0.15">
      <c r="N535" s="3"/>
    </row>
    <row r="536" spans="14:14" ht="13" x14ac:dyDescent="0.15">
      <c r="N536" s="3"/>
    </row>
    <row r="537" spans="14:14" ht="13" x14ac:dyDescent="0.15">
      <c r="N537" s="3"/>
    </row>
    <row r="538" spans="14:14" ht="13" x14ac:dyDescent="0.15">
      <c r="N538" s="3"/>
    </row>
    <row r="539" spans="14:14" ht="13" x14ac:dyDescent="0.15">
      <c r="N539" s="3"/>
    </row>
    <row r="540" spans="14:14" ht="13" x14ac:dyDescent="0.15">
      <c r="N540" s="3"/>
    </row>
    <row r="541" spans="14:14" ht="13" x14ac:dyDescent="0.15">
      <c r="N541" s="3"/>
    </row>
    <row r="542" spans="14:14" ht="13" x14ac:dyDescent="0.15">
      <c r="N542" s="3"/>
    </row>
    <row r="543" spans="14:14" ht="13" x14ac:dyDescent="0.15">
      <c r="N543" s="3"/>
    </row>
    <row r="544" spans="14:14" ht="13" x14ac:dyDescent="0.15">
      <c r="N544" s="3"/>
    </row>
    <row r="545" spans="14:14" ht="13" x14ac:dyDescent="0.15">
      <c r="N545" s="3"/>
    </row>
    <row r="546" spans="14:14" ht="13" x14ac:dyDescent="0.15">
      <c r="N546" s="3"/>
    </row>
    <row r="547" spans="14:14" ht="13" x14ac:dyDescent="0.15">
      <c r="N547" s="3"/>
    </row>
    <row r="548" spans="14:14" ht="13" x14ac:dyDescent="0.15">
      <c r="N548" s="3"/>
    </row>
    <row r="549" spans="14:14" ht="13" x14ac:dyDescent="0.15">
      <c r="N549" s="3"/>
    </row>
    <row r="550" spans="14:14" ht="13" x14ac:dyDescent="0.15">
      <c r="N550" s="3"/>
    </row>
    <row r="551" spans="14:14" ht="13" x14ac:dyDescent="0.15">
      <c r="N551" s="3"/>
    </row>
    <row r="552" spans="14:14" ht="13" x14ac:dyDescent="0.15">
      <c r="N552" s="3"/>
    </row>
    <row r="553" spans="14:14" ht="13" x14ac:dyDescent="0.15">
      <c r="N553" s="3"/>
    </row>
    <row r="554" spans="14:14" ht="13" x14ac:dyDescent="0.15">
      <c r="N554" s="3"/>
    </row>
    <row r="555" spans="14:14" ht="13" x14ac:dyDescent="0.15">
      <c r="N555" s="3"/>
    </row>
    <row r="556" spans="14:14" ht="13" x14ac:dyDescent="0.15">
      <c r="N556" s="3"/>
    </row>
    <row r="557" spans="14:14" ht="13" x14ac:dyDescent="0.15">
      <c r="N557" s="3"/>
    </row>
    <row r="558" spans="14:14" ht="13" x14ac:dyDescent="0.15">
      <c r="N558" s="3"/>
    </row>
    <row r="559" spans="14:14" ht="13" x14ac:dyDescent="0.15">
      <c r="N559" s="3"/>
    </row>
    <row r="560" spans="14:14" ht="13" x14ac:dyDescent="0.15">
      <c r="N560" s="3"/>
    </row>
    <row r="561" spans="14:14" ht="13" x14ac:dyDescent="0.15">
      <c r="N561" s="3"/>
    </row>
    <row r="562" spans="14:14" ht="13" x14ac:dyDescent="0.15">
      <c r="N562" s="3"/>
    </row>
    <row r="563" spans="14:14" ht="13" x14ac:dyDescent="0.15">
      <c r="N563" s="3"/>
    </row>
    <row r="564" spans="14:14" ht="13" x14ac:dyDescent="0.15">
      <c r="N564" s="3"/>
    </row>
    <row r="565" spans="14:14" ht="13" x14ac:dyDescent="0.15">
      <c r="N565" s="3"/>
    </row>
    <row r="566" spans="14:14" ht="13" x14ac:dyDescent="0.15">
      <c r="N566" s="3"/>
    </row>
    <row r="567" spans="14:14" ht="13" x14ac:dyDescent="0.15">
      <c r="N567" s="3"/>
    </row>
    <row r="568" spans="14:14" ht="13" x14ac:dyDescent="0.15">
      <c r="N568" s="3"/>
    </row>
    <row r="569" spans="14:14" ht="13" x14ac:dyDescent="0.15">
      <c r="N569" s="3"/>
    </row>
    <row r="570" spans="14:14" ht="13" x14ac:dyDescent="0.15">
      <c r="N570" s="3"/>
    </row>
    <row r="571" spans="14:14" ht="13" x14ac:dyDescent="0.15">
      <c r="N571" s="3"/>
    </row>
    <row r="572" spans="14:14" ht="13" x14ac:dyDescent="0.15">
      <c r="N572" s="3"/>
    </row>
    <row r="573" spans="14:14" ht="13" x14ac:dyDescent="0.15">
      <c r="N573" s="3"/>
    </row>
    <row r="574" spans="14:14" ht="13" x14ac:dyDescent="0.15">
      <c r="N574" s="3"/>
    </row>
    <row r="575" spans="14:14" ht="13" x14ac:dyDescent="0.15">
      <c r="N575" s="3"/>
    </row>
    <row r="576" spans="14:14" ht="13" x14ac:dyDescent="0.15">
      <c r="N576" s="3"/>
    </row>
    <row r="577" spans="14:14" ht="13" x14ac:dyDescent="0.15">
      <c r="N577" s="3"/>
    </row>
    <row r="578" spans="14:14" ht="13" x14ac:dyDescent="0.15">
      <c r="N578" s="3"/>
    </row>
    <row r="579" spans="14:14" ht="13" x14ac:dyDescent="0.15">
      <c r="N579" s="3"/>
    </row>
    <row r="580" spans="14:14" ht="13" x14ac:dyDescent="0.15">
      <c r="N580" s="3"/>
    </row>
    <row r="581" spans="14:14" ht="13" x14ac:dyDescent="0.15">
      <c r="N581" s="3"/>
    </row>
    <row r="582" spans="14:14" ht="13" x14ac:dyDescent="0.15">
      <c r="N582" s="3"/>
    </row>
    <row r="583" spans="14:14" ht="13" x14ac:dyDescent="0.15">
      <c r="N583" s="3"/>
    </row>
    <row r="584" spans="14:14" ht="13" x14ac:dyDescent="0.15">
      <c r="N584" s="3"/>
    </row>
    <row r="585" spans="14:14" ht="13" x14ac:dyDescent="0.15">
      <c r="N585" s="3"/>
    </row>
    <row r="586" spans="14:14" ht="13" x14ac:dyDescent="0.15">
      <c r="N586" s="3"/>
    </row>
    <row r="587" spans="14:14" ht="13" x14ac:dyDescent="0.15">
      <c r="N587" s="3"/>
    </row>
    <row r="588" spans="14:14" ht="13" x14ac:dyDescent="0.15">
      <c r="N588" s="3"/>
    </row>
    <row r="589" spans="14:14" ht="13" x14ac:dyDescent="0.15">
      <c r="N589" s="3"/>
    </row>
    <row r="590" spans="14:14" ht="13" x14ac:dyDescent="0.15">
      <c r="N590" s="3"/>
    </row>
    <row r="591" spans="14:14" ht="13" x14ac:dyDescent="0.15">
      <c r="N591" s="3"/>
    </row>
    <row r="592" spans="14:14" ht="13" x14ac:dyDescent="0.15">
      <c r="N592" s="3"/>
    </row>
    <row r="593" spans="14:14" ht="13" x14ac:dyDescent="0.15">
      <c r="N593" s="3"/>
    </row>
    <row r="594" spans="14:14" ht="13" x14ac:dyDescent="0.15">
      <c r="N594" s="3"/>
    </row>
    <row r="595" spans="14:14" ht="13" x14ac:dyDescent="0.15">
      <c r="N595" s="3"/>
    </row>
    <row r="596" spans="14:14" ht="13" x14ac:dyDescent="0.15">
      <c r="N596" s="3"/>
    </row>
    <row r="597" spans="14:14" ht="13" x14ac:dyDescent="0.15">
      <c r="N597" s="3"/>
    </row>
    <row r="598" spans="14:14" ht="13" x14ac:dyDescent="0.15">
      <c r="N598" s="3"/>
    </row>
    <row r="599" spans="14:14" ht="13" x14ac:dyDescent="0.15">
      <c r="N599" s="3"/>
    </row>
    <row r="600" spans="14:14" ht="13" x14ac:dyDescent="0.15">
      <c r="N600" s="3"/>
    </row>
    <row r="601" spans="14:14" ht="13" x14ac:dyDescent="0.15">
      <c r="N601" s="3"/>
    </row>
    <row r="602" spans="14:14" ht="13" x14ac:dyDescent="0.15">
      <c r="N602" s="3"/>
    </row>
    <row r="603" spans="14:14" ht="13" x14ac:dyDescent="0.15">
      <c r="N603" s="3"/>
    </row>
    <row r="604" spans="14:14" ht="13" x14ac:dyDescent="0.15">
      <c r="N604" s="3"/>
    </row>
    <row r="605" spans="14:14" ht="13" x14ac:dyDescent="0.15">
      <c r="N605" s="3"/>
    </row>
    <row r="606" spans="14:14" ht="13" x14ac:dyDescent="0.15">
      <c r="N606" s="3"/>
    </row>
    <row r="607" spans="14:14" ht="13" x14ac:dyDescent="0.15">
      <c r="N607" s="3"/>
    </row>
    <row r="608" spans="14:14" ht="13" x14ac:dyDescent="0.15">
      <c r="N608" s="3"/>
    </row>
    <row r="609" spans="14:14" ht="13" x14ac:dyDescent="0.15">
      <c r="N609" s="3"/>
    </row>
    <row r="610" spans="14:14" ht="13" x14ac:dyDescent="0.15">
      <c r="N610" s="3"/>
    </row>
    <row r="611" spans="14:14" ht="13" x14ac:dyDescent="0.15">
      <c r="N611" s="3"/>
    </row>
    <row r="612" spans="14:14" ht="13" x14ac:dyDescent="0.15">
      <c r="N612" s="3"/>
    </row>
    <row r="613" spans="14:14" ht="13" x14ac:dyDescent="0.15">
      <c r="N613" s="3"/>
    </row>
    <row r="614" spans="14:14" ht="13" x14ac:dyDescent="0.15">
      <c r="N614" s="3"/>
    </row>
    <row r="615" spans="14:14" ht="13" x14ac:dyDescent="0.15">
      <c r="N615" s="3"/>
    </row>
    <row r="616" spans="14:14" ht="13" x14ac:dyDescent="0.15">
      <c r="N616" s="3"/>
    </row>
    <row r="617" spans="14:14" ht="13" x14ac:dyDescent="0.15">
      <c r="N617" s="3"/>
    </row>
    <row r="618" spans="14:14" ht="13" x14ac:dyDescent="0.15">
      <c r="N618" s="3"/>
    </row>
    <row r="619" spans="14:14" ht="13" x14ac:dyDescent="0.15">
      <c r="N619" s="3"/>
    </row>
    <row r="620" spans="14:14" ht="13" x14ac:dyDescent="0.15">
      <c r="N620" s="3"/>
    </row>
    <row r="621" spans="14:14" ht="13" x14ac:dyDescent="0.15">
      <c r="N621" s="3"/>
    </row>
    <row r="622" spans="14:14" ht="13" x14ac:dyDescent="0.15">
      <c r="N622" s="3"/>
    </row>
    <row r="623" spans="14:14" ht="13" x14ac:dyDescent="0.15">
      <c r="N623" s="3"/>
    </row>
    <row r="624" spans="14:14" ht="13" x14ac:dyDescent="0.15">
      <c r="N624" s="3"/>
    </row>
    <row r="625" spans="14:14" ht="13" x14ac:dyDescent="0.15">
      <c r="N625" s="3"/>
    </row>
    <row r="626" spans="14:14" ht="13" x14ac:dyDescent="0.15">
      <c r="N626" s="3"/>
    </row>
    <row r="627" spans="14:14" ht="13" x14ac:dyDescent="0.15">
      <c r="N627" s="3"/>
    </row>
    <row r="628" spans="14:14" ht="13" x14ac:dyDescent="0.15">
      <c r="N628" s="3"/>
    </row>
    <row r="629" spans="14:14" ht="13" x14ac:dyDescent="0.15">
      <c r="N629" s="3"/>
    </row>
    <row r="630" spans="14:14" ht="13" x14ac:dyDescent="0.15">
      <c r="N630" s="3"/>
    </row>
    <row r="631" spans="14:14" ht="13" x14ac:dyDescent="0.15">
      <c r="N631" s="3"/>
    </row>
    <row r="632" spans="14:14" ht="13" x14ac:dyDescent="0.15">
      <c r="N632" s="3"/>
    </row>
    <row r="633" spans="14:14" ht="13" x14ac:dyDescent="0.15">
      <c r="N633" s="3"/>
    </row>
    <row r="634" spans="14:14" ht="13" x14ac:dyDescent="0.15">
      <c r="N634" s="3"/>
    </row>
    <row r="635" spans="14:14" ht="13" x14ac:dyDescent="0.15">
      <c r="N635" s="3"/>
    </row>
    <row r="636" spans="14:14" ht="13" x14ac:dyDescent="0.15">
      <c r="N636" s="3"/>
    </row>
    <row r="637" spans="14:14" ht="13" x14ac:dyDescent="0.15">
      <c r="N637" s="3"/>
    </row>
    <row r="638" spans="14:14" ht="13" x14ac:dyDescent="0.15">
      <c r="N638" s="3"/>
    </row>
    <row r="639" spans="14:14" ht="13" x14ac:dyDescent="0.15">
      <c r="N639" s="3"/>
    </row>
    <row r="640" spans="14:14" ht="13" x14ac:dyDescent="0.15">
      <c r="N640" s="3"/>
    </row>
    <row r="641" spans="14:14" ht="13" x14ac:dyDescent="0.15">
      <c r="N641" s="3"/>
    </row>
    <row r="642" spans="14:14" ht="13" x14ac:dyDescent="0.15">
      <c r="N642" s="3"/>
    </row>
    <row r="643" spans="14:14" ht="13" x14ac:dyDescent="0.15">
      <c r="N643" s="3"/>
    </row>
    <row r="644" spans="14:14" ht="13" x14ac:dyDescent="0.15">
      <c r="N644" s="3"/>
    </row>
    <row r="645" spans="14:14" ht="13" x14ac:dyDescent="0.15">
      <c r="N645" s="3"/>
    </row>
    <row r="646" spans="14:14" ht="13" x14ac:dyDescent="0.15">
      <c r="N646" s="3"/>
    </row>
    <row r="647" spans="14:14" ht="13" x14ac:dyDescent="0.15">
      <c r="N647" s="3"/>
    </row>
    <row r="648" spans="14:14" ht="13" x14ac:dyDescent="0.15">
      <c r="N648" s="3"/>
    </row>
    <row r="649" spans="14:14" ht="13" x14ac:dyDescent="0.15">
      <c r="N649" s="3"/>
    </row>
    <row r="650" spans="14:14" ht="13" x14ac:dyDescent="0.15">
      <c r="N650" s="3"/>
    </row>
    <row r="651" spans="14:14" ht="13" x14ac:dyDescent="0.15">
      <c r="N651" s="3"/>
    </row>
    <row r="652" spans="14:14" ht="13" x14ac:dyDescent="0.15">
      <c r="N652" s="3"/>
    </row>
    <row r="653" spans="14:14" ht="13" x14ac:dyDescent="0.15">
      <c r="N653" s="3"/>
    </row>
    <row r="654" spans="14:14" ht="13" x14ac:dyDescent="0.15">
      <c r="N654" s="3"/>
    </row>
    <row r="655" spans="14:14" ht="13" x14ac:dyDescent="0.15">
      <c r="N655" s="3"/>
    </row>
    <row r="656" spans="14:14" ht="13" x14ac:dyDescent="0.15">
      <c r="N656" s="3"/>
    </row>
    <row r="657" spans="14:14" ht="13" x14ac:dyDescent="0.15">
      <c r="N657" s="3"/>
    </row>
    <row r="658" spans="14:14" ht="13" x14ac:dyDescent="0.15">
      <c r="N658" s="3"/>
    </row>
    <row r="659" spans="14:14" ht="13" x14ac:dyDescent="0.15">
      <c r="N659" s="3"/>
    </row>
    <row r="660" spans="14:14" ht="13" x14ac:dyDescent="0.15">
      <c r="N660" s="3"/>
    </row>
    <row r="661" spans="14:14" ht="13" x14ac:dyDescent="0.15">
      <c r="N661" s="3"/>
    </row>
    <row r="662" spans="14:14" ht="13" x14ac:dyDescent="0.15">
      <c r="N662" s="3"/>
    </row>
    <row r="663" spans="14:14" ht="13" x14ac:dyDescent="0.15">
      <c r="N663" s="3"/>
    </row>
    <row r="664" spans="14:14" ht="13" x14ac:dyDescent="0.15">
      <c r="N664" s="3"/>
    </row>
    <row r="665" spans="14:14" ht="13" x14ac:dyDescent="0.15">
      <c r="N665" s="3"/>
    </row>
    <row r="666" spans="14:14" ht="13" x14ac:dyDescent="0.15">
      <c r="N666" s="3"/>
    </row>
    <row r="667" spans="14:14" ht="13" x14ac:dyDescent="0.15">
      <c r="N667" s="3"/>
    </row>
    <row r="668" spans="14:14" ht="13" x14ac:dyDescent="0.15">
      <c r="N668" s="3"/>
    </row>
    <row r="669" spans="14:14" ht="13" x14ac:dyDescent="0.15">
      <c r="N669" s="3"/>
    </row>
    <row r="670" spans="14:14" ht="13" x14ac:dyDescent="0.15">
      <c r="N670" s="3"/>
    </row>
    <row r="671" spans="14:14" ht="13" x14ac:dyDescent="0.15">
      <c r="N671" s="3"/>
    </row>
    <row r="672" spans="14:14" ht="13" x14ac:dyDescent="0.15">
      <c r="N672" s="3"/>
    </row>
    <row r="673" spans="14:14" ht="13" x14ac:dyDescent="0.15">
      <c r="N673" s="3"/>
    </row>
    <row r="674" spans="14:14" ht="13" x14ac:dyDescent="0.15">
      <c r="N674" s="3"/>
    </row>
    <row r="675" spans="14:14" ht="13" x14ac:dyDescent="0.15">
      <c r="N675" s="3"/>
    </row>
    <row r="676" spans="14:14" ht="13" x14ac:dyDescent="0.15">
      <c r="N676" s="3"/>
    </row>
    <row r="677" spans="14:14" ht="13" x14ac:dyDescent="0.15">
      <c r="N677" s="3"/>
    </row>
    <row r="678" spans="14:14" ht="13" x14ac:dyDescent="0.15">
      <c r="N678" s="3"/>
    </row>
    <row r="679" spans="14:14" ht="13" x14ac:dyDescent="0.15">
      <c r="N679" s="3"/>
    </row>
    <row r="680" spans="14:14" ht="13" x14ac:dyDescent="0.15">
      <c r="N680" s="3"/>
    </row>
    <row r="681" spans="14:14" ht="13" x14ac:dyDescent="0.15">
      <c r="N681" s="3"/>
    </row>
    <row r="682" spans="14:14" ht="13" x14ac:dyDescent="0.15">
      <c r="N682" s="3"/>
    </row>
    <row r="683" spans="14:14" ht="13" x14ac:dyDescent="0.15">
      <c r="N683" s="3"/>
    </row>
    <row r="684" spans="14:14" ht="13" x14ac:dyDescent="0.15">
      <c r="N684" s="3"/>
    </row>
    <row r="685" spans="14:14" ht="13" x14ac:dyDescent="0.15">
      <c r="N685" s="3"/>
    </row>
    <row r="686" spans="14:14" ht="13" x14ac:dyDescent="0.15">
      <c r="N686" s="3"/>
    </row>
    <row r="687" spans="14:14" ht="13" x14ac:dyDescent="0.15">
      <c r="N687" s="3"/>
    </row>
    <row r="688" spans="14:14" ht="13" x14ac:dyDescent="0.15">
      <c r="N688" s="3"/>
    </row>
    <row r="689" spans="14:14" ht="13" x14ac:dyDescent="0.15">
      <c r="N689" s="3"/>
    </row>
    <row r="690" spans="14:14" ht="13" x14ac:dyDescent="0.15">
      <c r="N690" s="3"/>
    </row>
    <row r="691" spans="14:14" ht="13" x14ac:dyDescent="0.15">
      <c r="N691" s="3"/>
    </row>
    <row r="692" spans="14:14" ht="13" x14ac:dyDescent="0.15">
      <c r="N692" s="3"/>
    </row>
    <row r="693" spans="14:14" ht="13" x14ac:dyDescent="0.15">
      <c r="N693" s="3"/>
    </row>
    <row r="694" spans="14:14" ht="13" x14ac:dyDescent="0.15">
      <c r="N694" s="3"/>
    </row>
    <row r="695" spans="14:14" ht="13" x14ac:dyDescent="0.15">
      <c r="N695" s="3"/>
    </row>
    <row r="696" spans="14:14" ht="13" x14ac:dyDescent="0.15">
      <c r="N696" s="3"/>
    </row>
    <row r="697" spans="14:14" ht="13" x14ac:dyDescent="0.15">
      <c r="N697" s="3"/>
    </row>
    <row r="698" spans="14:14" ht="13" x14ac:dyDescent="0.15">
      <c r="N698" s="3"/>
    </row>
    <row r="699" spans="14:14" ht="13" x14ac:dyDescent="0.15">
      <c r="N699" s="3"/>
    </row>
    <row r="700" spans="14:14" ht="13" x14ac:dyDescent="0.15">
      <c r="N700" s="3"/>
    </row>
    <row r="701" spans="14:14" ht="13" x14ac:dyDescent="0.15">
      <c r="N701" s="3"/>
    </row>
    <row r="702" spans="14:14" ht="13" x14ac:dyDescent="0.15">
      <c r="N702" s="3"/>
    </row>
    <row r="703" spans="14:14" ht="13" x14ac:dyDescent="0.15">
      <c r="N703" s="3"/>
    </row>
    <row r="704" spans="14:14" ht="13" x14ac:dyDescent="0.15">
      <c r="N704" s="3"/>
    </row>
    <row r="705" spans="14:14" ht="13" x14ac:dyDescent="0.15">
      <c r="N705" s="3"/>
    </row>
    <row r="706" spans="14:14" ht="13" x14ac:dyDescent="0.15">
      <c r="N706" s="3"/>
    </row>
    <row r="707" spans="14:14" ht="13" x14ac:dyDescent="0.15">
      <c r="N707" s="3"/>
    </row>
    <row r="708" spans="14:14" ht="13" x14ac:dyDescent="0.15">
      <c r="N708" s="3"/>
    </row>
    <row r="709" spans="14:14" ht="13" x14ac:dyDescent="0.15">
      <c r="N709" s="3"/>
    </row>
    <row r="710" spans="14:14" ht="13" x14ac:dyDescent="0.15">
      <c r="N710" s="3"/>
    </row>
    <row r="711" spans="14:14" ht="13" x14ac:dyDescent="0.15">
      <c r="N711" s="3"/>
    </row>
    <row r="712" spans="14:14" ht="13" x14ac:dyDescent="0.15">
      <c r="N712" s="3"/>
    </row>
    <row r="713" spans="14:14" ht="13" x14ac:dyDescent="0.15">
      <c r="N713" s="3"/>
    </row>
    <row r="714" spans="14:14" ht="13" x14ac:dyDescent="0.15">
      <c r="N714" s="3"/>
    </row>
    <row r="715" spans="14:14" ht="13" x14ac:dyDescent="0.15">
      <c r="N715" s="3"/>
    </row>
    <row r="716" spans="14:14" ht="13" x14ac:dyDescent="0.15">
      <c r="N716" s="3"/>
    </row>
    <row r="717" spans="14:14" ht="13" x14ac:dyDescent="0.15">
      <c r="N717" s="3"/>
    </row>
    <row r="718" spans="14:14" ht="13" x14ac:dyDescent="0.15">
      <c r="N718" s="3"/>
    </row>
    <row r="719" spans="14:14" ht="13" x14ac:dyDescent="0.15">
      <c r="N719" s="3"/>
    </row>
    <row r="720" spans="14:14" ht="13" x14ac:dyDescent="0.15">
      <c r="N720" s="3"/>
    </row>
    <row r="721" spans="14:14" ht="13" x14ac:dyDescent="0.15">
      <c r="N721" s="3"/>
    </row>
    <row r="722" spans="14:14" ht="13" x14ac:dyDescent="0.15">
      <c r="N722" s="3"/>
    </row>
    <row r="723" spans="14:14" ht="13" x14ac:dyDescent="0.15">
      <c r="N723" s="3"/>
    </row>
    <row r="724" spans="14:14" ht="13" x14ac:dyDescent="0.15">
      <c r="N724" s="3"/>
    </row>
    <row r="725" spans="14:14" ht="13" x14ac:dyDescent="0.15">
      <c r="N725" s="3"/>
    </row>
    <row r="726" spans="14:14" ht="13" x14ac:dyDescent="0.15">
      <c r="N726" s="3"/>
    </row>
    <row r="727" spans="14:14" ht="13" x14ac:dyDescent="0.15">
      <c r="N727" s="3"/>
    </row>
    <row r="728" spans="14:14" ht="13" x14ac:dyDescent="0.15">
      <c r="N728" s="3"/>
    </row>
    <row r="729" spans="14:14" ht="13" x14ac:dyDescent="0.15">
      <c r="N729" s="3"/>
    </row>
    <row r="730" spans="14:14" ht="13" x14ac:dyDescent="0.15">
      <c r="N730" s="3"/>
    </row>
    <row r="731" spans="14:14" ht="13" x14ac:dyDescent="0.15">
      <c r="N731" s="3"/>
    </row>
    <row r="732" spans="14:14" ht="13" x14ac:dyDescent="0.15">
      <c r="N732" s="3"/>
    </row>
    <row r="733" spans="14:14" ht="13" x14ac:dyDescent="0.15">
      <c r="N733" s="3"/>
    </row>
    <row r="734" spans="14:14" ht="13" x14ac:dyDescent="0.15">
      <c r="N734" s="3"/>
    </row>
    <row r="735" spans="14:14" ht="13" x14ac:dyDescent="0.15">
      <c r="N735" s="3"/>
    </row>
    <row r="736" spans="14:14" ht="13" x14ac:dyDescent="0.15">
      <c r="N736" s="3"/>
    </row>
    <row r="737" spans="14:14" ht="13" x14ac:dyDescent="0.15">
      <c r="N737" s="3"/>
    </row>
    <row r="738" spans="14:14" ht="13" x14ac:dyDescent="0.15">
      <c r="N738" s="3"/>
    </row>
    <row r="739" spans="14:14" ht="13" x14ac:dyDescent="0.15">
      <c r="N739" s="3"/>
    </row>
    <row r="740" spans="14:14" ht="13" x14ac:dyDescent="0.15">
      <c r="N740" s="3"/>
    </row>
    <row r="741" spans="14:14" ht="13" x14ac:dyDescent="0.15">
      <c r="N741" s="3"/>
    </row>
    <row r="742" spans="14:14" ht="13" x14ac:dyDescent="0.15">
      <c r="N742" s="3"/>
    </row>
    <row r="743" spans="14:14" ht="13" x14ac:dyDescent="0.15">
      <c r="N743" s="3"/>
    </row>
    <row r="744" spans="14:14" ht="13" x14ac:dyDescent="0.15">
      <c r="N744" s="3"/>
    </row>
    <row r="745" spans="14:14" ht="13" x14ac:dyDescent="0.15">
      <c r="N745" s="3"/>
    </row>
    <row r="746" spans="14:14" ht="13" x14ac:dyDescent="0.15">
      <c r="N746" s="3"/>
    </row>
    <row r="747" spans="14:14" ht="13" x14ac:dyDescent="0.15">
      <c r="N747" s="3"/>
    </row>
    <row r="748" spans="14:14" ht="13" x14ac:dyDescent="0.15">
      <c r="N748" s="3"/>
    </row>
    <row r="749" spans="14:14" ht="13" x14ac:dyDescent="0.15">
      <c r="N749" s="3"/>
    </row>
    <row r="750" spans="14:14" ht="13" x14ac:dyDescent="0.15">
      <c r="N750" s="3"/>
    </row>
    <row r="751" spans="14:14" ht="13" x14ac:dyDescent="0.15">
      <c r="N751" s="3"/>
    </row>
    <row r="752" spans="14:14" ht="13" x14ac:dyDescent="0.15">
      <c r="N752" s="3"/>
    </row>
    <row r="753" spans="14:14" ht="13" x14ac:dyDescent="0.15">
      <c r="N753" s="3"/>
    </row>
    <row r="754" spans="14:14" ht="13" x14ac:dyDescent="0.15">
      <c r="N754" s="3"/>
    </row>
    <row r="755" spans="14:14" ht="13" x14ac:dyDescent="0.15">
      <c r="N755" s="3"/>
    </row>
    <row r="756" spans="14:14" ht="13" x14ac:dyDescent="0.15">
      <c r="N756" s="3"/>
    </row>
    <row r="757" spans="14:14" ht="13" x14ac:dyDescent="0.15">
      <c r="N757" s="3"/>
    </row>
    <row r="758" spans="14:14" ht="13" x14ac:dyDescent="0.15">
      <c r="N758" s="3"/>
    </row>
    <row r="759" spans="14:14" ht="13" x14ac:dyDescent="0.15">
      <c r="N759" s="3"/>
    </row>
    <row r="760" spans="14:14" ht="13" x14ac:dyDescent="0.15">
      <c r="N760" s="3"/>
    </row>
    <row r="761" spans="14:14" ht="13" x14ac:dyDescent="0.15">
      <c r="N761" s="3"/>
    </row>
    <row r="762" spans="14:14" ht="13" x14ac:dyDescent="0.15">
      <c r="N762" s="3"/>
    </row>
    <row r="763" spans="14:14" ht="13" x14ac:dyDescent="0.15">
      <c r="N763" s="3"/>
    </row>
    <row r="764" spans="14:14" ht="13" x14ac:dyDescent="0.15">
      <c r="N764" s="3"/>
    </row>
    <row r="765" spans="14:14" ht="13" x14ac:dyDescent="0.15">
      <c r="N765" s="3"/>
    </row>
    <row r="766" spans="14:14" ht="13" x14ac:dyDescent="0.15">
      <c r="N766" s="3"/>
    </row>
    <row r="767" spans="14:14" ht="13" x14ac:dyDescent="0.15">
      <c r="N767" s="3"/>
    </row>
    <row r="768" spans="14:14" ht="13" x14ac:dyDescent="0.15">
      <c r="N768" s="3"/>
    </row>
    <row r="769" spans="14:14" ht="13" x14ac:dyDescent="0.15">
      <c r="N769" s="3"/>
    </row>
    <row r="770" spans="14:14" ht="13" x14ac:dyDescent="0.15">
      <c r="N770" s="3"/>
    </row>
    <row r="771" spans="14:14" ht="13" x14ac:dyDescent="0.15">
      <c r="N771" s="3"/>
    </row>
    <row r="772" spans="14:14" ht="13" x14ac:dyDescent="0.15">
      <c r="N772" s="3"/>
    </row>
    <row r="773" spans="14:14" ht="13" x14ac:dyDescent="0.15">
      <c r="N773" s="3"/>
    </row>
    <row r="774" spans="14:14" ht="13" x14ac:dyDescent="0.15">
      <c r="N774" s="3"/>
    </row>
    <row r="775" spans="14:14" ht="13" x14ac:dyDescent="0.15">
      <c r="N775" s="3"/>
    </row>
    <row r="776" spans="14:14" ht="13" x14ac:dyDescent="0.15">
      <c r="N776" s="3"/>
    </row>
    <row r="777" spans="14:14" ht="13" x14ac:dyDescent="0.15">
      <c r="N777" s="3"/>
    </row>
    <row r="778" spans="14:14" ht="13" x14ac:dyDescent="0.15">
      <c r="N778" s="3"/>
    </row>
    <row r="779" spans="14:14" ht="13" x14ac:dyDescent="0.15">
      <c r="N779" s="3"/>
    </row>
    <row r="780" spans="14:14" ht="13" x14ac:dyDescent="0.15">
      <c r="N780" s="3"/>
    </row>
    <row r="781" spans="14:14" ht="13" x14ac:dyDescent="0.15">
      <c r="N781" s="3"/>
    </row>
    <row r="782" spans="14:14" ht="13" x14ac:dyDescent="0.15">
      <c r="N782" s="3"/>
    </row>
    <row r="783" spans="14:14" ht="13" x14ac:dyDescent="0.15">
      <c r="N783" s="3"/>
    </row>
    <row r="784" spans="14:14" ht="13" x14ac:dyDescent="0.15">
      <c r="N784" s="3"/>
    </row>
    <row r="785" spans="14:14" ht="13" x14ac:dyDescent="0.15">
      <c r="N785" s="3"/>
    </row>
    <row r="786" spans="14:14" ht="13" x14ac:dyDescent="0.15">
      <c r="N786" s="3"/>
    </row>
    <row r="787" spans="14:14" ht="13" x14ac:dyDescent="0.15">
      <c r="N787" s="3"/>
    </row>
    <row r="788" spans="14:14" ht="13" x14ac:dyDescent="0.15">
      <c r="N788" s="3"/>
    </row>
    <row r="789" spans="14:14" ht="13" x14ac:dyDescent="0.15">
      <c r="N789" s="3"/>
    </row>
    <row r="790" spans="14:14" ht="13" x14ac:dyDescent="0.15">
      <c r="N790" s="3"/>
    </row>
    <row r="791" spans="14:14" ht="13" x14ac:dyDescent="0.15">
      <c r="N791" s="3"/>
    </row>
    <row r="792" spans="14:14" ht="13" x14ac:dyDescent="0.15">
      <c r="N792" s="3"/>
    </row>
    <row r="793" spans="14:14" ht="13" x14ac:dyDescent="0.15">
      <c r="N793" s="3"/>
    </row>
    <row r="794" spans="14:14" ht="13" x14ac:dyDescent="0.15">
      <c r="N794" s="3"/>
    </row>
    <row r="795" spans="14:14" ht="13" x14ac:dyDescent="0.15">
      <c r="N795" s="3"/>
    </row>
    <row r="796" spans="14:14" ht="13" x14ac:dyDescent="0.15">
      <c r="N796" s="3"/>
    </row>
    <row r="797" spans="14:14" ht="13" x14ac:dyDescent="0.15">
      <c r="N797" s="3"/>
    </row>
    <row r="798" spans="14:14" ht="13" x14ac:dyDescent="0.15">
      <c r="N798" s="3"/>
    </row>
    <row r="799" spans="14:14" ht="13" x14ac:dyDescent="0.15">
      <c r="N799" s="3"/>
    </row>
    <row r="800" spans="14:14" ht="13" x14ac:dyDescent="0.15">
      <c r="N800" s="3"/>
    </row>
    <row r="801" spans="14:14" ht="13" x14ac:dyDescent="0.15">
      <c r="N801" s="3"/>
    </row>
    <row r="802" spans="14:14" ht="13" x14ac:dyDescent="0.15">
      <c r="N802" s="3"/>
    </row>
    <row r="803" spans="14:14" ht="13" x14ac:dyDescent="0.15">
      <c r="N803" s="3"/>
    </row>
    <row r="804" spans="14:14" ht="13" x14ac:dyDescent="0.15">
      <c r="N804" s="3"/>
    </row>
    <row r="805" spans="14:14" ht="13" x14ac:dyDescent="0.15">
      <c r="N805" s="3"/>
    </row>
    <row r="806" spans="14:14" ht="13" x14ac:dyDescent="0.15">
      <c r="N806" s="3"/>
    </row>
    <row r="807" spans="14:14" ht="13" x14ac:dyDescent="0.15">
      <c r="N807" s="3"/>
    </row>
    <row r="808" spans="14:14" ht="13" x14ac:dyDescent="0.15">
      <c r="N808" s="3"/>
    </row>
    <row r="809" spans="14:14" ht="13" x14ac:dyDescent="0.15">
      <c r="N809" s="3"/>
    </row>
    <row r="810" spans="14:14" ht="13" x14ac:dyDescent="0.15">
      <c r="N810" s="3"/>
    </row>
    <row r="811" spans="14:14" ht="13" x14ac:dyDescent="0.15">
      <c r="N811" s="3"/>
    </row>
    <row r="812" spans="14:14" ht="13" x14ac:dyDescent="0.15">
      <c r="N812" s="3"/>
    </row>
    <row r="813" spans="14:14" ht="13" x14ac:dyDescent="0.15">
      <c r="N813" s="3"/>
    </row>
    <row r="814" spans="14:14" ht="13" x14ac:dyDescent="0.15">
      <c r="N814" s="3"/>
    </row>
    <row r="815" spans="14:14" ht="13" x14ac:dyDescent="0.15">
      <c r="N815" s="3"/>
    </row>
    <row r="816" spans="14:14" ht="13" x14ac:dyDescent="0.15">
      <c r="N816" s="3"/>
    </row>
    <row r="817" spans="14:14" ht="13" x14ac:dyDescent="0.15">
      <c r="N817" s="3"/>
    </row>
    <row r="818" spans="14:14" ht="13" x14ac:dyDescent="0.15">
      <c r="N818" s="3"/>
    </row>
    <row r="819" spans="14:14" ht="13" x14ac:dyDescent="0.15">
      <c r="N819" s="3"/>
    </row>
    <row r="820" spans="14:14" ht="13" x14ac:dyDescent="0.15">
      <c r="N820" s="3"/>
    </row>
    <row r="821" spans="14:14" ht="13" x14ac:dyDescent="0.15">
      <c r="N821" s="3"/>
    </row>
    <row r="822" spans="14:14" ht="13" x14ac:dyDescent="0.15">
      <c r="N822" s="3"/>
    </row>
    <row r="823" spans="14:14" ht="13" x14ac:dyDescent="0.15">
      <c r="N823" s="3"/>
    </row>
    <row r="824" spans="14:14" ht="13" x14ac:dyDescent="0.15">
      <c r="N824" s="3"/>
    </row>
    <row r="825" spans="14:14" ht="13" x14ac:dyDescent="0.15">
      <c r="N825" s="3"/>
    </row>
    <row r="826" spans="14:14" ht="13" x14ac:dyDescent="0.15">
      <c r="N826" s="3"/>
    </row>
    <row r="827" spans="14:14" ht="13" x14ac:dyDescent="0.15">
      <c r="N827" s="3"/>
    </row>
    <row r="828" spans="14:14" ht="13" x14ac:dyDescent="0.15">
      <c r="N828" s="3"/>
    </row>
    <row r="829" spans="14:14" ht="13" x14ac:dyDescent="0.15">
      <c r="N829" s="3"/>
    </row>
    <row r="830" spans="14:14" ht="13" x14ac:dyDescent="0.15">
      <c r="N830" s="3"/>
    </row>
    <row r="831" spans="14:14" ht="13" x14ac:dyDescent="0.15">
      <c r="N831" s="3"/>
    </row>
    <row r="832" spans="14:14" ht="13" x14ac:dyDescent="0.15">
      <c r="N832" s="3"/>
    </row>
    <row r="833" spans="14:14" ht="13" x14ac:dyDescent="0.15">
      <c r="N833" s="3"/>
    </row>
    <row r="834" spans="14:14" ht="13" x14ac:dyDescent="0.15">
      <c r="N834" s="3"/>
    </row>
    <row r="835" spans="14:14" ht="13" x14ac:dyDescent="0.15">
      <c r="N835" s="3"/>
    </row>
    <row r="836" spans="14:14" ht="13" x14ac:dyDescent="0.15">
      <c r="N836" s="3"/>
    </row>
    <row r="837" spans="14:14" ht="13" x14ac:dyDescent="0.15">
      <c r="N837" s="3"/>
    </row>
    <row r="838" spans="14:14" ht="13" x14ac:dyDescent="0.15">
      <c r="N838" s="3"/>
    </row>
    <row r="839" spans="14:14" ht="13" x14ac:dyDescent="0.15">
      <c r="N839" s="3"/>
    </row>
    <row r="840" spans="14:14" ht="13" x14ac:dyDescent="0.15">
      <c r="N840" s="3"/>
    </row>
    <row r="841" spans="14:14" ht="13" x14ac:dyDescent="0.15">
      <c r="N841" s="3"/>
    </row>
    <row r="842" spans="14:14" ht="13" x14ac:dyDescent="0.15">
      <c r="N842" s="3"/>
    </row>
    <row r="843" spans="14:14" ht="13" x14ac:dyDescent="0.15">
      <c r="N843" s="3"/>
    </row>
    <row r="844" spans="14:14" ht="13" x14ac:dyDescent="0.15">
      <c r="N844" s="3"/>
    </row>
    <row r="845" spans="14:14" ht="13" x14ac:dyDescent="0.15">
      <c r="N845" s="3"/>
    </row>
    <row r="846" spans="14:14" ht="13" x14ac:dyDescent="0.15">
      <c r="N846" s="3"/>
    </row>
    <row r="847" spans="14:14" ht="13" x14ac:dyDescent="0.15">
      <c r="N847" s="3"/>
    </row>
    <row r="848" spans="14:14" ht="13" x14ac:dyDescent="0.15">
      <c r="N848" s="3"/>
    </row>
    <row r="849" spans="14:14" ht="13" x14ac:dyDescent="0.15">
      <c r="N849" s="3"/>
    </row>
    <row r="850" spans="14:14" ht="13" x14ac:dyDescent="0.15">
      <c r="N850" s="3"/>
    </row>
    <row r="851" spans="14:14" ht="13" x14ac:dyDescent="0.15">
      <c r="N851" s="3"/>
    </row>
    <row r="852" spans="14:14" ht="13" x14ac:dyDescent="0.15">
      <c r="N852" s="3"/>
    </row>
    <row r="853" spans="14:14" ht="13" x14ac:dyDescent="0.15">
      <c r="N853" s="3"/>
    </row>
    <row r="854" spans="14:14" ht="13" x14ac:dyDescent="0.15">
      <c r="N854" s="3"/>
    </row>
    <row r="855" spans="14:14" ht="13" x14ac:dyDescent="0.15">
      <c r="N855" s="3"/>
    </row>
    <row r="856" spans="14:14" ht="13" x14ac:dyDescent="0.15">
      <c r="N856" s="3"/>
    </row>
    <row r="857" spans="14:14" ht="13" x14ac:dyDescent="0.15">
      <c r="N857" s="3"/>
    </row>
    <row r="858" spans="14:14" ht="13" x14ac:dyDescent="0.15">
      <c r="N858" s="3"/>
    </row>
    <row r="859" spans="14:14" ht="13" x14ac:dyDescent="0.15">
      <c r="N859" s="3"/>
    </row>
    <row r="860" spans="14:14" ht="13" x14ac:dyDescent="0.15">
      <c r="N860" s="3"/>
    </row>
    <row r="861" spans="14:14" ht="13" x14ac:dyDescent="0.15">
      <c r="N861" s="3"/>
    </row>
    <row r="862" spans="14:14" ht="13" x14ac:dyDescent="0.15">
      <c r="N862" s="3"/>
    </row>
    <row r="863" spans="14:14" ht="13" x14ac:dyDescent="0.15">
      <c r="N863" s="3"/>
    </row>
    <row r="864" spans="14:14" ht="13" x14ac:dyDescent="0.15">
      <c r="N864" s="3"/>
    </row>
    <row r="865" spans="14:14" ht="13" x14ac:dyDescent="0.15">
      <c r="N865" s="3"/>
    </row>
    <row r="866" spans="14:14" ht="13" x14ac:dyDescent="0.15">
      <c r="N866" s="3"/>
    </row>
    <row r="867" spans="14:14" ht="13" x14ac:dyDescent="0.15">
      <c r="N867" s="3"/>
    </row>
    <row r="868" spans="14:14" ht="13" x14ac:dyDescent="0.15">
      <c r="N868" s="3"/>
    </row>
    <row r="869" spans="14:14" ht="13" x14ac:dyDescent="0.15">
      <c r="N869" s="3"/>
    </row>
    <row r="870" spans="14:14" ht="13" x14ac:dyDescent="0.15">
      <c r="N870" s="3"/>
    </row>
    <row r="871" spans="14:14" ht="13" x14ac:dyDescent="0.15">
      <c r="N871" s="3"/>
    </row>
    <row r="872" spans="14:14" ht="13" x14ac:dyDescent="0.15">
      <c r="N872" s="3"/>
    </row>
    <row r="873" spans="14:14" ht="13" x14ac:dyDescent="0.15">
      <c r="N873" s="3"/>
    </row>
    <row r="874" spans="14:14" ht="13" x14ac:dyDescent="0.15">
      <c r="N874" s="3"/>
    </row>
    <row r="875" spans="14:14" ht="13" x14ac:dyDescent="0.15">
      <c r="N875" s="3"/>
    </row>
    <row r="876" spans="14:14" ht="13" x14ac:dyDescent="0.15">
      <c r="N876" s="3"/>
    </row>
    <row r="877" spans="14:14" ht="13" x14ac:dyDescent="0.15">
      <c r="N877" s="3"/>
    </row>
    <row r="878" spans="14:14" ht="13" x14ac:dyDescent="0.15">
      <c r="N878" s="3"/>
    </row>
    <row r="879" spans="14:14" ht="13" x14ac:dyDescent="0.15">
      <c r="N879" s="3"/>
    </row>
    <row r="880" spans="14:14" ht="13" x14ac:dyDescent="0.15">
      <c r="N880" s="3"/>
    </row>
    <row r="881" spans="14:14" ht="13" x14ac:dyDescent="0.15">
      <c r="N881" s="3"/>
    </row>
    <row r="882" spans="14:14" ht="13" x14ac:dyDescent="0.15">
      <c r="N882" s="3"/>
    </row>
    <row r="883" spans="14:14" ht="13" x14ac:dyDescent="0.15">
      <c r="N883" s="3"/>
    </row>
    <row r="884" spans="14:14" ht="13" x14ac:dyDescent="0.15">
      <c r="N884" s="3"/>
    </row>
    <row r="885" spans="14:14" ht="13" x14ac:dyDescent="0.15">
      <c r="N885" s="3"/>
    </row>
    <row r="886" spans="14:14" ht="13" x14ac:dyDescent="0.15">
      <c r="N886" s="3"/>
    </row>
    <row r="887" spans="14:14" ht="13" x14ac:dyDescent="0.15">
      <c r="N887" s="3"/>
    </row>
    <row r="888" spans="14:14" ht="13" x14ac:dyDescent="0.15">
      <c r="N888" s="3"/>
    </row>
    <row r="889" spans="14:14" ht="13" x14ac:dyDescent="0.15">
      <c r="N889" s="3"/>
    </row>
    <row r="890" spans="14:14" ht="13" x14ac:dyDescent="0.15">
      <c r="N890" s="3"/>
    </row>
    <row r="891" spans="14:14" ht="13" x14ac:dyDescent="0.15">
      <c r="N891" s="3"/>
    </row>
    <row r="892" spans="14:14" ht="13" x14ac:dyDescent="0.15">
      <c r="N892" s="3"/>
    </row>
    <row r="893" spans="14:14" ht="13" x14ac:dyDescent="0.15">
      <c r="N893" s="3"/>
    </row>
    <row r="894" spans="14:14" ht="13" x14ac:dyDescent="0.15">
      <c r="N894" s="3"/>
    </row>
    <row r="895" spans="14:14" ht="13" x14ac:dyDescent="0.15">
      <c r="N895" s="3"/>
    </row>
    <row r="896" spans="14:14" ht="13" x14ac:dyDescent="0.15">
      <c r="N896" s="3"/>
    </row>
    <row r="897" spans="14:14" ht="13" x14ac:dyDescent="0.15">
      <c r="N897" s="3"/>
    </row>
    <row r="898" spans="14:14" ht="13" x14ac:dyDescent="0.15">
      <c r="N898" s="3"/>
    </row>
    <row r="899" spans="14:14" ht="13" x14ac:dyDescent="0.15">
      <c r="N899" s="3"/>
    </row>
    <row r="900" spans="14:14" ht="13" x14ac:dyDescent="0.15">
      <c r="N900" s="3"/>
    </row>
    <row r="901" spans="14:14" ht="13" x14ac:dyDescent="0.15">
      <c r="N901" s="3"/>
    </row>
    <row r="902" spans="14:14" ht="13" x14ac:dyDescent="0.15">
      <c r="N902" s="3"/>
    </row>
    <row r="903" spans="14:14" ht="13" x14ac:dyDescent="0.15">
      <c r="N903" s="3"/>
    </row>
    <row r="904" spans="14:14" ht="13" x14ac:dyDescent="0.15">
      <c r="N904" s="3"/>
    </row>
    <row r="905" spans="14:14" ht="13" x14ac:dyDescent="0.15">
      <c r="N905" s="3"/>
    </row>
    <row r="906" spans="14:14" ht="13" x14ac:dyDescent="0.15">
      <c r="N906" s="3"/>
    </row>
    <row r="907" spans="14:14" ht="13" x14ac:dyDescent="0.15">
      <c r="N907" s="3"/>
    </row>
    <row r="908" spans="14:14" ht="13" x14ac:dyDescent="0.15">
      <c r="N908" s="3"/>
    </row>
    <row r="909" spans="14:14" ht="13" x14ac:dyDescent="0.15">
      <c r="N909" s="3"/>
    </row>
    <row r="910" spans="14:14" ht="13" x14ac:dyDescent="0.15">
      <c r="N910" s="3"/>
    </row>
    <row r="911" spans="14:14" ht="13" x14ac:dyDescent="0.15">
      <c r="N911" s="3"/>
    </row>
    <row r="912" spans="14:14" ht="13" x14ac:dyDescent="0.15">
      <c r="N912" s="3"/>
    </row>
    <row r="913" spans="14:14" ht="13" x14ac:dyDescent="0.15">
      <c r="N913" s="3"/>
    </row>
    <row r="914" spans="14:14" ht="13" x14ac:dyDescent="0.15">
      <c r="N914" s="3"/>
    </row>
    <row r="915" spans="14:14" ht="13" x14ac:dyDescent="0.15">
      <c r="N915" s="3"/>
    </row>
    <row r="916" spans="14:14" ht="13" x14ac:dyDescent="0.15">
      <c r="N916" s="3"/>
    </row>
    <row r="917" spans="14:14" ht="13" x14ac:dyDescent="0.15">
      <c r="N917" s="3"/>
    </row>
    <row r="918" spans="14:14" ht="13" x14ac:dyDescent="0.15">
      <c r="N918" s="3"/>
    </row>
    <row r="919" spans="14:14" ht="13" x14ac:dyDescent="0.15">
      <c r="N919" s="3"/>
    </row>
    <row r="920" spans="14:14" ht="13" x14ac:dyDescent="0.15">
      <c r="N920" s="3"/>
    </row>
    <row r="921" spans="14:14" ht="13" x14ac:dyDescent="0.15">
      <c r="N921" s="3"/>
    </row>
    <row r="922" spans="14:14" ht="13" x14ac:dyDescent="0.15">
      <c r="N922" s="3"/>
    </row>
    <row r="923" spans="14:14" ht="13" x14ac:dyDescent="0.15">
      <c r="N923" s="3"/>
    </row>
    <row r="924" spans="14:14" ht="13" x14ac:dyDescent="0.15">
      <c r="N924" s="3"/>
    </row>
    <row r="925" spans="14:14" ht="13" x14ac:dyDescent="0.15">
      <c r="N925" s="3"/>
    </row>
    <row r="926" spans="14:14" ht="13" x14ac:dyDescent="0.15">
      <c r="N926" s="3"/>
    </row>
    <row r="927" spans="14:14" ht="13" x14ac:dyDescent="0.15">
      <c r="N927" s="3"/>
    </row>
    <row r="928" spans="14:14" ht="13" x14ac:dyDescent="0.15">
      <c r="N928" s="3"/>
    </row>
    <row r="929" spans="14:14" ht="13" x14ac:dyDescent="0.15">
      <c r="N929" s="3"/>
    </row>
    <row r="930" spans="14:14" ht="13" x14ac:dyDescent="0.15">
      <c r="N930" s="3"/>
    </row>
    <row r="931" spans="14:14" ht="13" x14ac:dyDescent="0.15">
      <c r="N931" s="3"/>
    </row>
    <row r="932" spans="14:14" ht="13" x14ac:dyDescent="0.15">
      <c r="N932" s="3"/>
    </row>
    <row r="933" spans="14:14" ht="13" x14ac:dyDescent="0.15">
      <c r="N933" s="3"/>
    </row>
    <row r="934" spans="14:14" ht="13" x14ac:dyDescent="0.15">
      <c r="N934" s="3"/>
    </row>
    <row r="935" spans="14:14" ht="13" x14ac:dyDescent="0.15">
      <c r="N935" s="3"/>
    </row>
    <row r="936" spans="14:14" ht="13" x14ac:dyDescent="0.15">
      <c r="N936" s="3"/>
    </row>
    <row r="937" spans="14:14" ht="13" x14ac:dyDescent="0.15">
      <c r="N937" s="3"/>
    </row>
    <row r="938" spans="14:14" ht="13" x14ac:dyDescent="0.15">
      <c r="N938" s="3"/>
    </row>
    <row r="939" spans="14:14" ht="13" x14ac:dyDescent="0.15">
      <c r="N939" s="3"/>
    </row>
    <row r="940" spans="14:14" ht="13" x14ac:dyDescent="0.15">
      <c r="N940" s="3"/>
    </row>
    <row r="941" spans="14:14" ht="13" x14ac:dyDescent="0.15">
      <c r="N941" s="3"/>
    </row>
    <row r="942" spans="14:14" ht="13" x14ac:dyDescent="0.15">
      <c r="N942" s="3"/>
    </row>
    <row r="943" spans="14:14" ht="13" x14ac:dyDescent="0.15">
      <c r="N943" s="3"/>
    </row>
    <row r="944" spans="14:14" ht="13" x14ac:dyDescent="0.15">
      <c r="N944" s="3"/>
    </row>
    <row r="945" spans="14:14" ht="13" x14ac:dyDescent="0.15">
      <c r="N945" s="3"/>
    </row>
    <row r="946" spans="14:14" ht="13" x14ac:dyDescent="0.15">
      <c r="N946" s="3"/>
    </row>
    <row r="947" spans="14:14" ht="13" x14ac:dyDescent="0.15">
      <c r="N947" s="3"/>
    </row>
    <row r="948" spans="14:14" ht="13" x14ac:dyDescent="0.15">
      <c r="N948" s="3"/>
    </row>
    <row r="949" spans="14:14" ht="13" x14ac:dyDescent="0.15">
      <c r="N949" s="3"/>
    </row>
    <row r="950" spans="14:14" ht="13" x14ac:dyDescent="0.15">
      <c r="N950" s="3"/>
    </row>
    <row r="951" spans="14:14" ht="13" x14ac:dyDescent="0.15">
      <c r="N951" s="3"/>
    </row>
    <row r="952" spans="14:14" ht="13" x14ac:dyDescent="0.15">
      <c r="N952" s="3"/>
    </row>
    <row r="953" spans="14:14" ht="13" x14ac:dyDescent="0.15">
      <c r="N953" s="3"/>
    </row>
    <row r="954" spans="14:14" ht="13" x14ac:dyDescent="0.15">
      <c r="N954" s="3"/>
    </row>
    <row r="955" spans="14:14" ht="13" x14ac:dyDescent="0.15">
      <c r="N955" s="3"/>
    </row>
    <row r="956" spans="14:14" ht="13" x14ac:dyDescent="0.15">
      <c r="N956" s="3"/>
    </row>
    <row r="957" spans="14:14" ht="13" x14ac:dyDescent="0.15">
      <c r="N957" s="3"/>
    </row>
    <row r="958" spans="14:14" ht="13" x14ac:dyDescent="0.15">
      <c r="N958" s="3"/>
    </row>
    <row r="959" spans="14:14" ht="13" x14ac:dyDescent="0.15">
      <c r="N959" s="3"/>
    </row>
    <row r="960" spans="14:14" ht="13" x14ac:dyDescent="0.15">
      <c r="N960" s="3"/>
    </row>
    <row r="961" spans="14:14" ht="13" x14ac:dyDescent="0.15">
      <c r="N961" s="3"/>
    </row>
    <row r="962" spans="14:14" ht="13" x14ac:dyDescent="0.15">
      <c r="N962" s="3"/>
    </row>
    <row r="963" spans="14:14" ht="13" x14ac:dyDescent="0.15">
      <c r="N963" s="3"/>
    </row>
    <row r="964" spans="14:14" ht="13" x14ac:dyDescent="0.15">
      <c r="N964" s="3"/>
    </row>
    <row r="965" spans="14:14" ht="13" x14ac:dyDescent="0.15">
      <c r="N965" s="3"/>
    </row>
    <row r="966" spans="14:14" ht="13" x14ac:dyDescent="0.15">
      <c r="N966" s="3"/>
    </row>
    <row r="967" spans="14:14" ht="13" x14ac:dyDescent="0.15">
      <c r="N967" s="3"/>
    </row>
    <row r="968" spans="14:14" ht="13" x14ac:dyDescent="0.15">
      <c r="N968" s="3"/>
    </row>
    <row r="969" spans="14:14" ht="13" x14ac:dyDescent="0.15">
      <c r="N969" s="3"/>
    </row>
    <row r="970" spans="14:14" ht="13" x14ac:dyDescent="0.15">
      <c r="N970" s="3"/>
    </row>
    <row r="971" spans="14:14" ht="13" x14ac:dyDescent="0.15">
      <c r="N971" s="3"/>
    </row>
    <row r="972" spans="14:14" ht="13" x14ac:dyDescent="0.15">
      <c r="N972" s="3"/>
    </row>
    <row r="973" spans="14:14" ht="13" x14ac:dyDescent="0.15">
      <c r="N973" s="3"/>
    </row>
    <row r="974" spans="14:14" ht="13" x14ac:dyDescent="0.15">
      <c r="N974" s="3"/>
    </row>
    <row r="975" spans="14:14" ht="13" x14ac:dyDescent="0.15">
      <c r="N975" s="3"/>
    </row>
    <row r="976" spans="14:14" ht="13" x14ac:dyDescent="0.15">
      <c r="N976" s="3"/>
    </row>
    <row r="977" spans="14:14" ht="13" x14ac:dyDescent="0.15">
      <c r="N977" s="3"/>
    </row>
    <row r="978" spans="14:14" ht="13" x14ac:dyDescent="0.15">
      <c r="N978" s="3"/>
    </row>
    <row r="979" spans="14:14" ht="13" x14ac:dyDescent="0.15">
      <c r="N979" s="3"/>
    </row>
    <row r="980" spans="14:14" ht="13" x14ac:dyDescent="0.15">
      <c r="N980" s="3"/>
    </row>
    <row r="981" spans="14:14" ht="13" x14ac:dyDescent="0.15">
      <c r="N981" s="3"/>
    </row>
    <row r="982" spans="14:14" ht="13" x14ac:dyDescent="0.15">
      <c r="N982" s="3"/>
    </row>
    <row r="983" spans="14:14" ht="13" x14ac:dyDescent="0.15">
      <c r="N983" s="3"/>
    </row>
    <row r="984" spans="14:14" ht="13" x14ac:dyDescent="0.15">
      <c r="N984" s="3"/>
    </row>
    <row r="985" spans="14:14" ht="13" x14ac:dyDescent="0.15">
      <c r="N985" s="3"/>
    </row>
    <row r="986" spans="14:14" ht="13" x14ac:dyDescent="0.15">
      <c r="N986" s="3"/>
    </row>
    <row r="987" spans="14:14" ht="13" x14ac:dyDescent="0.15">
      <c r="N987" s="3"/>
    </row>
    <row r="988" spans="14:14" ht="13" x14ac:dyDescent="0.15">
      <c r="N988" s="3"/>
    </row>
    <row r="989" spans="14:14" ht="13" x14ac:dyDescent="0.15">
      <c r="N989" s="3"/>
    </row>
    <row r="990" spans="14:14" ht="13" x14ac:dyDescent="0.15">
      <c r="N990" s="3"/>
    </row>
    <row r="991" spans="14:14" ht="13" x14ac:dyDescent="0.15">
      <c r="N991" s="3"/>
    </row>
    <row r="992" spans="14:14" ht="13" x14ac:dyDescent="0.15">
      <c r="N992" s="3"/>
    </row>
    <row r="993" spans="14:14" ht="13" x14ac:dyDescent="0.15">
      <c r="N993" s="3"/>
    </row>
    <row r="994" spans="14:14" ht="13" x14ac:dyDescent="0.15">
      <c r="N994" s="3"/>
    </row>
    <row r="995" spans="14:14" ht="13" x14ac:dyDescent="0.15">
      <c r="N995" s="3"/>
    </row>
    <row r="996" spans="14:14" ht="13" x14ac:dyDescent="0.15">
      <c r="N996" s="3"/>
    </row>
    <row r="997" spans="14:14" ht="13" x14ac:dyDescent="0.15">
      <c r="N997" s="3"/>
    </row>
    <row r="998" spans="14:14" ht="13" x14ac:dyDescent="0.15">
      <c r="N998" s="3"/>
    </row>
    <row r="999" spans="14:14" ht="13" x14ac:dyDescent="0.15">
      <c r="N999" s="3"/>
    </row>
    <row r="1000" spans="14:14" ht="13" x14ac:dyDescent="0.15">
      <c r="N1000" s="3"/>
    </row>
  </sheetData>
  <conditionalFormatting sqref="E1:E4 E20:E82">
    <cfRule type="cellIs" dxfId="71" priority="6" operator="equal">
      <formula>"KI-CDK9d-32"</formula>
    </cfRule>
    <cfRule type="cellIs" dxfId="70" priority="7" operator="equal">
      <formula>"KI-CDK9d-32N"</formula>
    </cfRule>
    <cfRule type="cellIs" dxfId="69" priority="8" operator="equal">
      <formula>"KB-0742"</formula>
    </cfRule>
    <cfRule type="cellIs" dxfId="68" priority="9" operator="equal">
      <formula>"SY-5609"</formula>
    </cfRule>
    <cfRule type="cellIs" dxfId="67" priority="10" operator="equal">
      <formula>"Senexin B"</formula>
    </cfRule>
    <cfRule type="cellIs" dxfId="66" priority="11" operator="equal">
      <formula>"SEL120"</formula>
    </cfRule>
    <cfRule type="cellIs" dxfId="65" priority="12" operator="equal">
      <formula>"DMSO"</formula>
    </cfRule>
    <cfRule type="cellIs" dxfId="64" priority="13" operator="equal">
      <formula>"NONE"</formula>
    </cfRule>
  </conditionalFormatting>
  <conditionalFormatting sqref="F1:G22 F26:G28 F32:G34 F38:G40 F44:G46 F53:G55 F62:G64 F71:G73 J1:N1 A1:B4 I1:I4 C1:C19 D1:E82 H1:H82">
    <cfRule type="cellIs" dxfId="63" priority="2" operator="equal">
      <formula>"N/A"</formula>
    </cfRule>
  </conditionalFormatting>
  <conditionalFormatting sqref="F2:G4 F20:G22 F26:G28 F32:G34 F38:G40 F44:G46 F53:G55 F62:G64 F71:G73">
    <cfRule type="colorScale" priority="1">
      <colorScale>
        <cfvo type="min"/>
        <cfvo type="percentile" val="50"/>
        <cfvo type="max"/>
        <color rgb="FF0000FF"/>
        <color rgb="FFFFFFFF"/>
        <color rgb="FFFF0000"/>
      </colorScale>
    </cfRule>
  </conditionalFormatting>
  <conditionalFormatting sqref="H1:H82">
    <cfRule type="cellIs" dxfId="62" priority="3" operator="equal">
      <formula>1</formula>
    </cfRule>
    <cfRule type="cellIs" dxfId="61" priority="4" operator="equal">
      <formula>2</formula>
    </cfRule>
    <cfRule type="cellIs" dxfId="60" priority="5" operator="equal">
      <formula>3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A14" zoomScale="160" workbookViewId="0"/>
  </sheetViews>
  <sheetFormatPr baseColWidth="10" defaultColWidth="12.6640625" defaultRowHeight="15.75" customHeight="1" x14ac:dyDescent="0.15"/>
  <cols>
    <col min="4" max="4" width="19.5" customWidth="1"/>
    <col min="15" max="15" width="51.1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</row>
    <row r="2" spans="1:17" ht="15.75" customHeight="1" x14ac:dyDescent="0.15">
      <c r="A2" s="2">
        <v>45773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90</v>
      </c>
      <c r="J2" s="3">
        <v>48</v>
      </c>
      <c r="K2" s="3" t="s">
        <v>17</v>
      </c>
      <c r="L2" s="3" t="s">
        <v>17</v>
      </c>
      <c r="M2" s="3" t="s">
        <v>17</v>
      </c>
      <c r="N2" s="4">
        <v>0.37</v>
      </c>
      <c r="O2" s="3" t="s">
        <v>91</v>
      </c>
    </row>
    <row r="3" spans="1:17" ht="15.75" customHeight="1" x14ac:dyDescent="0.15">
      <c r="A3" s="2">
        <v>45773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90</v>
      </c>
      <c r="J3" s="3">
        <v>48</v>
      </c>
      <c r="K3" s="3" t="s">
        <v>17</v>
      </c>
      <c r="L3" s="3" t="s">
        <v>17</v>
      </c>
      <c r="M3" s="3" t="s">
        <v>17</v>
      </c>
      <c r="N3" s="4">
        <v>0.36599999999999999</v>
      </c>
      <c r="O3" s="3" t="s">
        <v>92</v>
      </c>
    </row>
    <row r="4" spans="1:17" ht="15.75" customHeight="1" x14ac:dyDescent="0.15">
      <c r="A4" s="2">
        <v>45773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90</v>
      </c>
      <c r="J4" s="3">
        <v>48</v>
      </c>
      <c r="K4" s="3" t="s">
        <v>17</v>
      </c>
      <c r="L4" s="3" t="s">
        <v>17</v>
      </c>
      <c r="M4" s="3" t="s">
        <v>17</v>
      </c>
      <c r="N4" s="4">
        <v>0.38800000000000001</v>
      </c>
      <c r="O4" s="21" t="s">
        <v>93</v>
      </c>
    </row>
    <row r="5" spans="1:17" ht="15.75" customHeight="1" x14ac:dyDescent="0.15">
      <c r="A5" s="19">
        <v>45774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94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/>
    </row>
    <row r="6" spans="1:17" ht="15.75" customHeight="1" x14ac:dyDescent="0.15">
      <c r="A6" s="19">
        <v>45774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94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/>
    </row>
    <row r="7" spans="1:17" ht="15.75" customHeight="1" x14ac:dyDescent="0.15">
      <c r="A7" s="19">
        <v>45774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94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/>
    </row>
    <row r="8" spans="1:17" ht="15.75" customHeight="1" x14ac:dyDescent="0.15">
      <c r="A8" s="19">
        <v>45778</v>
      </c>
      <c r="B8" s="16">
        <v>5</v>
      </c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16" t="s">
        <v>95</v>
      </c>
      <c r="J8" s="16">
        <v>106</v>
      </c>
      <c r="K8" s="16">
        <v>40</v>
      </c>
      <c r="L8" s="3" t="s">
        <v>17</v>
      </c>
      <c r="M8" s="3" t="s">
        <v>17</v>
      </c>
      <c r="N8" s="3" t="s">
        <v>17</v>
      </c>
      <c r="O8" s="3" t="s">
        <v>96</v>
      </c>
    </row>
    <row r="9" spans="1:17" ht="15.75" customHeight="1" x14ac:dyDescent="0.15">
      <c r="A9" s="19">
        <v>45778</v>
      </c>
      <c r="B9" s="16">
        <v>5</v>
      </c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16" t="s">
        <v>95</v>
      </c>
      <c r="J9" s="16">
        <v>98.5</v>
      </c>
      <c r="K9" s="16">
        <v>40</v>
      </c>
      <c r="L9" s="3" t="s">
        <v>17</v>
      </c>
      <c r="M9" s="3" t="s">
        <v>17</v>
      </c>
      <c r="N9" s="3" t="s">
        <v>17</v>
      </c>
      <c r="O9" s="3" t="s">
        <v>96</v>
      </c>
    </row>
    <row r="10" spans="1:17" ht="15.75" customHeight="1" x14ac:dyDescent="0.15">
      <c r="A10" s="19">
        <v>45778</v>
      </c>
      <c r="B10" s="16">
        <v>5</v>
      </c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16" t="s">
        <v>95</v>
      </c>
      <c r="J10" s="16">
        <v>102.5</v>
      </c>
      <c r="K10" s="16">
        <v>40</v>
      </c>
      <c r="L10" s="3" t="s">
        <v>17</v>
      </c>
      <c r="M10" s="3" t="s">
        <v>17</v>
      </c>
      <c r="N10" s="3" t="s">
        <v>17</v>
      </c>
      <c r="O10" s="3" t="s">
        <v>96</v>
      </c>
    </row>
    <row r="11" spans="1:17" ht="15.75" customHeight="1" x14ac:dyDescent="0.15">
      <c r="A11" s="19">
        <v>45780</v>
      </c>
      <c r="B11" s="16">
        <v>7</v>
      </c>
      <c r="D11" s="3" t="s">
        <v>19</v>
      </c>
      <c r="E11" s="3" t="s">
        <v>16</v>
      </c>
      <c r="F11" s="3" t="s">
        <v>17</v>
      </c>
      <c r="G11" s="3" t="s">
        <v>17</v>
      </c>
      <c r="H11" s="3">
        <v>1</v>
      </c>
      <c r="I11" s="16" t="s">
        <v>95</v>
      </c>
      <c r="J11" s="16">
        <v>70.5</v>
      </c>
      <c r="K11" s="16">
        <v>20</v>
      </c>
      <c r="L11" s="16">
        <v>3</v>
      </c>
      <c r="M11" s="16">
        <v>5</v>
      </c>
      <c r="N11" s="16" t="s">
        <v>97</v>
      </c>
      <c r="O11" s="3" t="s">
        <v>98</v>
      </c>
    </row>
    <row r="12" spans="1:17" ht="15.75" customHeight="1" x14ac:dyDescent="0.15">
      <c r="A12" s="19">
        <v>45780</v>
      </c>
      <c r="B12" s="16">
        <v>7</v>
      </c>
      <c r="D12" s="3" t="s">
        <v>19</v>
      </c>
      <c r="E12" s="3" t="s">
        <v>16</v>
      </c>
      <c r="F12" s="3" t="s">
        <v>17</v>
      </c>
      <c r="G12" s="3" t="s">
        <v>17</v>
      </c>
      <c r="H12" s="3">
        <v>2</v>
      </c>
      <c r="I12" s="16" t="s">
        <v>95</v>
      </c>
      <c r="J12" s="16">
        <v>66.5</v>
      </c>
      <c r="K12" s="16">
        <v>20</v>
      </c>
      <c r="L12" s="16">
        <v>3</v>
      </c>
      <c r="M12" s="16">
        <v>5</v>
      </c>
      <c r="N12" s="16" t="s">
        <v>97</v>
      </c>
      <c r="O12" s="3" t="s">
        <v>99</v>
      </c>
    </row>
    <row r="13" spans="1:17" ht="15.75" customHeight="1" x14ac:dyDescent="0.15">
      <c r="A13" s="19">
        <v>45780</v>
      </c>
      <c r="B13" s="16">
        <v>7</v>
      </c>
      <c r="D13" s="3" t="s">
        <v>19</v>
      </c>
      <c r="E13" s="3" t="s">
        <v>16</v>
      </c>
      <c r="F13" s="3" t="s">
        <v>17</v>
      </c>
      <c r="G13" s="3" t="s">
        <v>17</v>
      </c>
      <c r="H13" s="3">
        <v>3</v>
      </c>
      <c r="I13" s="16" t="s">
        <v>95</v>
      </c>
      <c r="J13" s="16">
        <v>72</v>
      </c>
      <c r="K13" s="16">
        <v>20</v>
      </c>
      <c r="L13" s="16">
        <v>3</v>
      </c>
      <c r="M13" s="16">
        <v>5</v>
      </c>
      <c r="N13" s="16" t="s">
        <v>97</v>
      </c>
      <c r="O13" s="3"/>
    </row>
    <row r="14" spans="1:17" ht="15.75" customHeight="1" x14ac:dyDescent="0.15">
      <c r="A14" s="19">
        <v>45781</v>
      </c>
      <c r="B14" s="16">
        <v>8</v>
      </c>
      <c r="C14" s="16">
        <v>0</v>
      </c>
      <c r="E14" s="16" t="s">
        <v>32</v>
      </c>
      <c r="F14" s="22">
        <v>2.2499999999999999E-4</v>
      </c>
      <c r="G14" s="22">
        <v>2.2499999999999999E-4</v>
      </c>
      <c r="H14" s="3">
        <v>1</v>
      </c>
      <c r="I14" s="16" t="s">
        <v>49</v>
      </c>
      <c r="J14" s="16">
        <v>5</v>
      </c>
      <c r="K14" s="3" t="s">
        <v>17</v>
      </c>
      <c r="L14" s="3" t="s">
        <v>17</v>
      </c>
      <c r="M14" s="3" t="s">
        <v>17</v>
      </c>
      <c r="O14" s="3"/>
      <c r="P14" s="16">
        <v>0</v>
      </c>
      <c r="Q14" s="16">
        <v>0</v>
      </c>
    </row>
    <row r="15" spans="1:17" ht="15.75" customHeight="1" x14ac:dyDescent="0.15">
      <c r="A15" s="19">
        <v>45781</v>
      </c>
      <c r="B15" s="16">
        <v>8</v>
      </c>
      <c r="C15" s="16">
        <v>0</v>
      </c>
      <c r="E15" s="16" t="s">
        <v>32</v>
      </c>
      <c r="F15" s="22">
        <v>2.2499999999999999E-4</v>
      </c>
      <c r="G15" s="22">
        <v>2.2499999999999999E-4</v>
      </c>
      <c r="H15" s="3">
        <v>2</v>
      </c>
      <c r="I15" s="16" t="s">
        <v>49</v>
      </c>
      <c r="J15" s="16">
        <v>5</v>
      </c>
      <c r="K15" s="3" t="s">
        <v>17</v>
      </c>
      <c r="L15" s="3" t="s">
        <v>17</v>
      </c>
      <c r="M15" s="3" t="s">
        <v>17</v>
      </c>
      <c r="O15" s="3"/>
      <c r="P15" s="16">
        <v>0</v>
      </c>
      <c r="Q15" s="16">
        <v>0</v>
      </c>
    </row>
    <row r="16" spans="1:17" ht="15.75" customHeight="1" x14ac:dyDescent="0.15">
      <c r="A16" s="19">
        <v>45781</v>
      </c>
      <c r="B16" s="16">
        <v>8</v>
      </c>
      <c r="C16" s="16">
        <v>0</v>
      </c>
      <c r="E16" s="16" t="s">
        <v>32</v>
      </c>
      <c r="F16" s="22">
        <v>2.2499999999999999E-4</v>
      </c>
      <c r="G16" s="22">
        <v>2.2499999999999999E-4</v>
      </c>
      <c r="H16" s="3">
        <v>3</v>
      </c>
      <c r="I16" s="16" t="s">
        <v>49</v>
      </c>
      <c r="J16" s="16">
        <v>5</v>
      </c>
      <c r="K16" s="3" t="s">
        <v>17</v>
      </c>
      <c r="L16" s="3" t="s">
        <v>17</v>
      </c>
      <c r="M16" s="3" t="s">
        <v>17</v>
      </c>
      <c r="O16" s="3"/>
      <c r="P16" s="16">
        <v>0</v>
      </c>
      <c r="Q16" s="16">
        <v>0</v>
      </c>
    </row>
    <row r="17" spans="1:26" ht="15.75" customHeight="1" x14ac:dyDescent="0.15">
      <c r="A17" s="19">
        <v>45781</v>
      </c>
      <c r="B17" s="16">
        <v>8</v>
      </c>
      <c r="C17" s="16">
        <v>0</v>
      </c>
      <c r="E17" s="23" t="s">
        <v>100</v>
      </c>
      <c r="F17" s="16">
        <v>130</v>
      </c>
      <c r="G17" s="16">
        <v>130</v>
      </c>
      <c r="H17" s="3">
        <v>1</v>
      </c>
      <c r="I17" s="16" t="s">
        <v>49</v>
      </c>
      <c r="J17" s="16">
        <v>5</v>
      </c>
      <c r="K17" s="3" t="s">
        <v>17</v>
      </c>
      <c r="L17" s="3" t="s">
        <v>17</v>
      </c>
      <c r="M17" s="3" t="s">
        <v>17</v>
      </c>
      <c r="O17" s="3"/>
      <c r="P17" s="16">
        <v>0</v>
      </c>
      <c r="Q17" s="16">
        <v>0</v>
      </c>
    </row>
    <row r="18" spans="1:26" ht="15.75" customHeight="1" x14ac:dyDescent="0.15">
      <c r="A18" s="19">
        <v>45781</v>
      </c>
      <c r="B18" s="16">
        <v>8</v>
      </c>
      <c r="C18" s="16">
        <v>0</v>
      </c>
      <c r="E18" s="23" t="s">
        <v>100</v>
      </c>
      <c r="F18" s="16">
        <v>130</v>
      </c>
      <c r="G18" s="16">
        <v>130</v>
      </c>
      <c r="H18" s="3">
        <v>2</v>
      </c>
      <c r="I18" s="16" t="s">
        <v>49</v>
      </c>
      <c r="J18" s="16">
        <v>5</v>
      </c>
      <c r="K18" s="3" t="s">
        <v>17</v>
      </c>
      <c r="L18" s="3" t="s">
        <v>17</v>
      </c>
      <c r="M18" s="3" t="s">
        <v>17</v>
      </c>
      <c r="O18" s="3"/>
      <c r="P18" s="16">
        <v>0</v>
      </c>
      <c r="Q18" s="16">
        <v>0</v>
      </c>
    </row>
    <row r="19" spans="1:26" ht="15.75" customHeight="1" x14ac:dyDescent="0.15">
      <c r="A19" s="19">
        <v>45781</v>
      </c>
      <c r="B19" s="16">
        <v>8</v>
      </c>
      <c r="C19" s="16">
        <v>0</v>
      </c>
      <c r="E19" s="23" t="s">
        <v>100</v>
      </c>
      <c r="F19" s="16">
        <v>130</v>
      </c>
      <c r="G19" s="16">
        <v>130</v>
      </c>
      <c r="H19" s="3">
        <v>3</v>
      </c>
      <c r="I19" s="16" t="s">
        <v>49</v>
      </c>
      <c r="J19" s="16">
        <v>5</v>
      </c>
      <c r="K19" s="3" t="s">
        <v>17</v>
      </c>
      <c r="L19" s="3" t="s">
        <v>17</v>
      </c>
      <c r="M19" s="3" t="s">
        <v>17</v>
      </c>
      <c r="O19" s="3"/>
      <c r="P19" s="16">
        <v>0</v>
      </c>
      <c r="Q19" s="16">
        <v>0</v>
      </c>
    </row>
    <row r="20" spans="1:26" ht="15.75" customHeight="1" x14ac:dyDescent="0.15">
      <c r="A20" s="19">
        <v>45781</v>
      </c>
      <c r="B20" s="16">
        <v>8</v>
      </c>
      <c r="C20" s="16">
        <v>0</v>
      </c>
      <c r="E20" s="23" t="s">
        <v>101</v>
      </c>
      <c r="F20" s="16">
        <v>2250</v>
      </c>
      <c r="G20" s="16">
        <v>2250</v>
      </c>
      <c r="H20" s="3">
        <v>1</v>
      </c>
      <c r="I20" s="16" t="s">
        <v>49</v>
      </c>
      <c r="J20" s="16">
        <v>5</v>
      </c>
      <c r="K20" s="3" t="s">
        <v>17</v>
      </c>
      <c r="L20" s="3" t="s">
        <v>17</v>
      </c>
      <c r="M20" s="3" t="s">
        <v>17</v>
      </c>
      <c r="O20" s="3"/>
      <c r="P20" s="16">
        <v>0</v>
      </c>
      <c r="Q20" s="16">
        <v>0</v>
      </c>
    </row>
    <row r="21" spans="1:26" ht="15.75" customHeight="1" x14ac:dyDescent="0.15">
      <c r="A21" s="19">
        <v>45781</v>
      </c>
      <c r="B21" s="16">
        <v>8</v>
      </c>
      <c r="C21" s="16">
        <v>0</v>
      </c>
      <c r="E21" s="23" t="s">
        <v>101</v>
      </c>
      <c r="F21" s="16">
        <v>2250</v>
      </c>
      <c r="G21" s="16">
        <v>2250</v>
      </c>
      <c r="H21" s="3">
        <v>2</v>
      </c>
      <c r="I21" s="16" t="s">
        <v>49</v>
      </c>
      <c r="J21" s="16">
        <v>5</v>
      </c>
      <c r="K21" s="3" t="s">
        <v>17</v>
      </c>
      <c r="L21" s="3" t="s">
        <v>17</v>
      </c>
      <c r="M21" s="3" t="s">
        <v>17</v>
      </c>
      <c r="O21" s="3"/>
      <c r="P21" s="16">
        <v>0</v>
      </c>
      <c r="Q21" s="16">
        <v>0</v>
      </c>
    </row>
    <row r="22" spans="1:26" ht="15.75" customHeight="1" x14ac:dyDescent="0.15">
      <c r="A22" s="19">
        <v>45781</v>
      </c>
      <c r="B22" s="16">
        <v>8</v>
      </c>
      <c r="C22" s="16">
        <v>0</v>
      </c>
      <c r="E22" s="23" t="s">
        <v>101</v>
      </c>
      <c r="F22" s="16">
        <v>2250</v>
      </c>
      <c r="G22" s="16">
        <v>2250</v>
      </c>
      <c r="H22" s="3">
        <v>3</v>
      </c>
      <c r="I22" s="16" t="s">
        <v>49</v>
      </c>
      <c r="J22" s="16">
        <v>5</v>
      </c>
      <c r="K22" s="3" t="s">
        <v>17</v>
      </c>
      <c r="L22" s="3" t="s">
        <v>17</v>
      </c>
      <c r="M22" s="3" t="s">
        <v>17</v>
      </c>
      <c r="O22" s="3"/>
      <c r="P22" s="16">
        <v>0</v>
      </c>
      <c r="Q22" s="16">
        <v>0</v>
      </c>
    </row>
    <row r="23" spans="1:26" ht="15.75" customHeight="1" x14ac:dyDescent="0.15">
      <c r="A23" s="19">
        <v>45781</v>
      </c>
      <c r="B23" s="16">
        <v>8</v>
      </c>
      <c r="C23" s="16">
        <v>0</v>
      </c>
      <c r="E23" s="23" t="s">
        <v>102</v>
      </c>
      <c r="F23" s="16">
        <v>1700</v>
      </c>
      <c r="G23" s="16">
        <v>1700</v>
      </c>
      <c r="H23" s="3">
        <v>1</v>
      </c>
      <c r="I23" s="16" t="s">
        <v>49</v>
      </c>
      <c r="J23" s="16">
        <v>5</v>
      </c>
      <c r="K23" s="3" t="s">
        <v>17</v>
      </c>
      <c r="L23" s="3" t="s">
        <v>17</v>
      </c>
      <c r="M23" s="3" t="s">
        <v>17</v>
      </c>
      <c r="O23" s="3"/>
      <c r="P23" s="16">
        <v>0</v>
      </c>
      <c r="Q23" s="16">
        <v>0</v>
      </c>
    </row>
    <row r="24" spans="1:26" ht="15.75" customHeight="1" x14ac:dyDescent="0.15">
      <c r="A24" s="19">
        <v>45781</v>
      </c>
      <c r="B24" s="16">
        <v>8</v>
      </c>
      <c r="C24" s="16">
        <v>0</v>
      </c>
      <c r="E24" s="23" t="s">
        <v>102</v>
      </c>
      <c r="F24" s="16">
        <v>1700</v>
      </c>
      <c r="G24" s="16">
        <v>1700</v>
      </c>
      <c r="H24" s="3">
        <v>2</v>
      </c>
      <c r="I24" s="16" t="s">
        <v>49</v>
      </c>
      <c r="J24" s="16">
        <v>5</v>
      </c>
      <c r="K24" s="3" t="s">
        <v>17</v>
      </c>
      <c r="L24" s="3" t="s">
        <v>17</v>
      </c>
      <c r="M24" s="3" t="s">
        <v>17</v>
      </c>
      <c r="O24" s="3"/>
      <c r="P24" s="16">
        <v>0</v>
      </c>
      <c r="Q24" s="16">
        <v>0</v>
      </c>
      <c r="S24" s="16" t="s">
        <v>103</v>
      </c>
    </row>
    <row r="25" spans="1:26" ht="15.75" customHeight="1" x14ac:dyDescent="0.15">
      <c r="A25" s="19">
        <v>45781</v>
      </c>
      <c r="B25" s="16">
        <v>8</v>
      </c>
      <c r="C25" s="16">
        <v>0</v>
      </c>
      <c r="E25" s="23" t="s">
        <v>102</v>
      </c>
      <c r="F25" s="16">
        <v>1700</v>
      </c>
      <c r="G25" s="16">
        <v>1700</v>
      </c>
      <c r="H25" s="3">
        <v>3</v>
      </c>
      <c r="I25" s="16" t="s">
        <v>49</v>
      </c>
      <c r="J25" s="16">
        <v>5</v>
      </c>
      <c r="K25" s="3" t="s">
        <v>17</v>
      </c>
      <c r="L25" s="3" t="s">
        <v>17</v>
      </c>
      <c r="M25" s="3" t="s">
        <v>17</v>
      </c>
      <c r="O25" s="3"/>
      <c r="P25" s="16">
        <v>0</v>
      </c>
      <c r="Q25" s="16">
        <v>0</v>
      </c>
      <c r="S25" s="24" t="s">
        <v>55</v>
      </c>
      <c r="T25" s="25" t="s">
        <v>32</v>
      </c>
      <c r="U25" s="25" t="s">
        <v>100</v>
      </c>
      <c r="V25" s="25" t="s">
        <v>101</v>
      </c>
      <c r="W25" s="25" t="s">
        <v>102</v>
      </c>
      <c r="X25" s="25"/>
      <c r="Y25" s="25"/>
      <c r="Z25" s="26"/>
    </row>
    <row r="26" spans="1:26" ht="15.75" customHeight="1" x14ac:dyDescent="0.15">
      <c r="A26" s="19">
        <v>45784</v>
      </c>
      <c r="B26" s="16">
        <v>11</v>
      </c>
      <c r="C26" s="16">
        <v>3</v>
      </c>
      <c r="E26" s="16" t="s">
        <v>32</v>
      </c>
      <c r="F26" s="22">
        <v>2.2499999999999999E-4</v>
      </c>
      <c r="G26" s="22">
        <v>2.2499999999999999E-4</v>
      </c>
      <c r="H26" s="3">
        <v>1</v>
      </c>
      <c r="I26" s="16" t="s">
        <v>49</v>
      </c>
      <c r="J26" s="16">
        <v>23.2</v>
      </c>
      <c r="K26" s="16">
        <v>5</v>
      </c>
      <c r="L26" s="3" t="s">
        <v>17</v>
      </c>
      <c r="M26" s="3" t="s">
        <v>17</v>
      </c>
      <c r="O26" s="3"/>
      <c r="P26" s="16">
        <f t="shared" ref="P26:P37" si="0">LOG(J26/5,2)</f>
        <v>2.2141248053528475</v>
      </c>
      <c r="Q26" s="16">
        <f t="shared" ref="Q26:Q37" si="1">P26</f>
        <v>2.2141248053528475</v>
      </c>
      <c r="S26" s="27">
        <v>0</v>
      </c>
      <c r="T26" s="16">
        <v>0</v>
      </c>
      <c r="U26" s="16">
        <v>0</v>
      </c>
      <c r="V26" s="16">
        <v>0</v>
      </c>
      <c r="W26" s="16">
        <v>0</v>
      </c>
      <c r="Z26" s="28"/>
    </row>
    <row r="27" spans="1:26" ht="15.75" customHeight="1" x14ac:dyDescent="0.15">
      <c r="A27" s="19">
        <v>45784</v>
      </c>
      <c r="B27" s="16">
        <v>11</v>
      </c>
      <c r="C27" s="16">
        <v>3</v>
      </c>
      <c r="E27" s="16" t="s">
        <v>32</v>
      </c>
      <c r="F27" s="22">
        <v>2.2499999999999999E-4</v>
      </c>
      <c r="G27" s="22">
        <v>2.2499999999999999E-4</v>
      </c>
      <c r="H27" s="3">
        <v>2</v>
      </c>
      <c r="I27" s="16" t="s">
        <v>49</v>
      </c>
      <c r="J27" s="16">
        <v>22</v>
      </c>
      <c r="K27" s="16">
        <v>5</v>
      </c>
      <c r="L27" s="3" t="s">
        <v>17</v>
      </c>
      <c r="M27" s="3" t="s">
        <v>17</v>
      </c>
      <c r="O27" s="3"/>
      <c r="P27" s="16">
        <f t="shared" si="0"/>
        <v>2.1375035237499351</v>
      </c>
      <c r="Q27" s="16">
        <f t="shared" si="1"/>
        <v>2.1375035237499351</v>
      </c>
      <c r="S27" s="27">
        <v>3</v>
      </c>
      <c r="T27" s="16">
        <f>AVERAGE(Q26:Q28)</f>
        <v>2.2108615476446132</v>
      </c>
      <c r="U27" s="16">
        <f>AVERAGE(Q29:Q31)</f>
        <v>1.9428771938960063</v>
      </c>
      <c r="V27" s="16">
        <f>AVERAGE(Q32:Q34)</f>
        <v>1.3466358753839096</v>
      </c>
      <c r="W27" s="16">
        <f>AVERAGE(Q35:Q37)</f>
        <v>1.5722208675974587</v>
      </c>
      <c r="Z27" s="28"/>
    </row>
    <row r="28" spans="1:26" ht="15.75" customHeight="1" x14ac:dyDescent="0.15">
      <c r="A28" s="19">
        <v>45784</v>
      </c>
      <c r="B28" s="16">
        <v>11</v>
      </c>
      <c r="C28" s="16">
        <v>3</v>
      </c>
      <c r="E28" s="16" t="s">
        <v>32</v>
      </c>
      <c r="F28" s="22">
        <v>2.2499999999999999E-4</v>
      </c>
      <c r="G28" s="22">
        <v>2.2499999999999999E-4</v>
      </c>
      <c r="H28" s="3">
        <v>3</v>
      </c>
      <c r="I28" s="16" t="s">
        <v>49</v>
      </c>
      <c r="J28" s="16">
        <v>24.3</v>
      </c>
      <c r="K28" s="16">
        <v>5</v>
      </c>
      <c r="L28" s="3" t="s">
        <v>17</v>
      </c>
      <c r="M28" s="3" t="s">
        <v>17</v>
      </c>
      <c r="O28" s="3"/>
      <c r="P28" s="16">
        <f t="shared" si="0"/>
        <v>2.2809563138310565</v>
      </c>
      <c r="Q28" s="16">
        <f t="shared" si="1"/>
        <v>2.2809563138310565</v>
      </c>
      <c r="S28" s="27">
        <v>6</v>
      </c>
      <c r="T28" s="16">
        <f>AVERAGE(Q38:Q40)</f>
        <v>3.8290137201827767</v>
      </c>
      <c r="U28" s="16">
        <f>AVERAGE(Q41:Q43)</f>
        <v>3.6795404580549778</v>
      </c>
      <c r="V28" s="16">
        <f>AVERAGE(Q42:Q44)</f>
        <v>3.2882553482458974</v>
      </c>
      <c r="W28" s="16">
        <f>AVERAGE(Q45:Q47)</f>
        <v>2.5967038922794674</v>
      </c>
      <c r="Z28" s="28"/>
    </row>
    <row r="29" spans="1:26" ht="15.75" customHeight="1" x14ac:dyDescent="0.15">
      <c r="A29" s="19">
        <v>45784</v>
      </c>
      <c r="B29" s="16">
        <v>11</v>
      </c>
      <c r="C29" s="16">
        <v>3</v>
      </c>
      <c r="E29" s="23" t="s">
        <v>100</v>
      </c>
      <c r="F29" s="16">
        <v>130</v>
      </c>
      <c r="G29" s="16">
        <v>130</v>
      </c>
      <c r="H29" s="3">
        <v>1</v>
      </c>
      <c r="I29" s="16" t="s">
        <v>49</v>
      </c>
      <c r="J29" s="16">
        <v>20</v>
      </c>
      <c r="K29" s="16">
        <v>5</v>
      </c>
      <c r="L29" s="3" t="s">
        <v>17</v>
      </c>
      <c r="M29" s="3" t="s">
        <v>17</v>
      </c>
      <c r="O29" s="3"/>
      <c r="P29" s="16">
        <f t="shared" si="0"/>
        <v>2</v>
      </c>
      <c r="Q29" s="16">
        <f t="shared" si="1"/>
        <v>2</v>
      </c>
      <c r="S29" s="27">
        <v>9</v>
      </c>
      <c r="T29" s="16">
        <f>AVERAGE(Q48:Q50)</f>
        <v>3.682228679021069</v>
      </c>
      <c r="U29" s="16">
        <f>AVERAGE(Q51:Q53)</f>
        <v>5.6379228713709741</v>
      </c>
      <c r="V29" s="16">
        <f>AVERAGE(Q54:Q56)</f>
        <v>4.9229489995893916</v>
      </c>
      <c r="W29" s="16">
        <f>AVERAGE(Q57:Q59)</f>
        <v>3.946525055291751</v>
      </c>
      <c r="Z29" s="28"/>
    </row>
    <row r="30" spans="1:26" ht="15.75" customHeight="1" x14ac:dyDescent="0.15">
      <c r="A30" s="19">
        <v>45784</v>
      </c>
      <c r="B30" s="16">
        <v>11</v>
      </c>
      <c r="C30" s="16">
        <v>3</v>
      </c>
      <c r="E30" s="23" t="s">
        <v>100</v>
      </c>
      <c r="F30" s="16">
        <v>130</v>
      </c>
      <c r="G30" s="16">
        <v>130</v>
      </c>
      <c r="H30" s="3">
        <v>2</v>
      </c>
      <c r="I30" s="16" t="s">
        <v>49</v>
      </c>
      <c r="J30" s="16">
        <v>18.5</v>
      </c>
      <c r="K30" s="16">
        <v>5</v>
      </c>
      <c r="L30" s="3" t="s">
        <v>17</v>
      </c>
      <c r="M30" s="3" t="s">
        <v>17</v>
      </c>
      <c r="O30" s="3"/>
      <c r="P30" s="16">
        <f t="shared" si="0"/>
        <v>1.8875252707415877</v>
      </c>
      <c r="Q30" s="16">
        <f t="shared" si="1"/>
        <v>1.8875252707415877</v>
      </c>
      <c r="S30" s="27">
        <v>12</v>
      </c>
      <c r="Z30" s="28"/>
    </row>
    <row r="31" spans="1:26" ht="15.75" customHeight="1" x14ac:dyDescent="0.15">
      <c r="A31" s="19">
        <v>45784</v>
      </c>
      <c r="B31" s="16">
        <v>11</v>
      </c>
      <c r="C31" s="16">
        <v>3</v>
      </c>
      <c r="E31" s="23" t="s">
        <v>100</v>
      </c>
      <c r="F31" s="16">
        <v>130</v>
      </c>
      <c r="G31" s="16">
        <v>130</v>
      </c>
      <c r="H31" s="3">
        <v>3</v>
      </c>
      <c r="I31" s="16" t="s">
        <v>49</v>
      </c>
      <c r="J31" s="16">
        <v>19.2</v>
      </c>
      <c r="K31" s="16">
        <v>5</v>
      </c>
      <c r="L31" s="3" t="s">
        <v>17</v>
      </c>
      <c r="M31" s="3" t="s">
        <v>17</v>
      </c>
      <c r="O31" s="3"/>
      <c r="P31" s="16">
        <f t="shared" si="0"/>
        <v>1.9411063109464317</v>
      </c>
      <c r="Q31" s="16">
        <f t="shared" si="1"/>
        <v>1.9411063109464317</v>
      </c>
      <c r="S31" s="27">
        <v>15</v>
      </c>
      <c r="Z31" s="28"/>
    </row>
    <row r="32" spans="1:26" ht="15.75" customHeight="1" x14ac:dyDescent="0.15">
      <c r="A32" s="19">
        <v>45784</v>
      </c>
      <c r="B32" s="16">
        <v>11</v>
      </c>
      <c r="C32" s="16">
        <v>3</v>
      </c>
      <c r="E32" s="23" t="s">
        <v>101</v>
      </c>
      <c r="F32" s="16">
        <v>2250</v>
      </c>
      <c r="G32" s="16">
        <v>2250</v>
      </c>
      <c r="H32" s="3">
        <v>1</v>
      </c>
      <c r="I32" s="16" t="s">
        <v>49</v>
      </c>
      <c r="J32" s="16">
        <v>13.7</v>
      </c>
      <c r="K32" s="16">
        <v>5</v>
      </c>
      <c r="L32" s="3" t="s">
        <v>17</v>
      </c>
      <c r="M32" s="3" t="s">
        <v>17</v>
      </c>
      <c r="O32" s="3"/>
      <c r="P32" s="16">
        <f t="shared" si="0"/>
        <v>1.4541758931858018</v>
      </c>
      <c r="Q32" s="16">
        <f t="shared" si="1"/>
        <v>1.4541758931858018</v>
      </c>
      <c r="S32" s="27">
        <v>18</v>
      </c>
    </row>
    <row r="33" spans="1:26" ht="15.75" customHeight="1" x14ac:dyDescent="0.15">
      <c r="A33" s="19">
        <v>45784</v>
      </c>
      <c r="B33" s="16">
        <v>11</v>
      </c>
      <c r="C33" s="16">
        <v>3</v>
      </c>
      <c r="E33" s="23" t="s">
        <v>101</v>
      </c>
      <c r="F33" s="16">
        <v>2250</v>
      </c>
      <c r="G33" s="16">
        <v>2250</v>
      </c>
      <c r="H33" s="3">
        <v>2</v>
      </c>
      <c r="I33" s="16" t="s">
        <v>49</v>
      </c>
      <c r="J33" s="16">
        <v>13.4</v>
      </c>
      <c r="K33" s="16">
        <v>5</v>
      </c>
      <c r="L33" s="3" t="s">
        <v>17</v>
      </c>
      <c r="M33" s="3" t="s">
        <v>17</v>
      </c>
      <c r="O33" s="3"/>
      <c r="P33" s="16">
        <f t="shared" si="0"/>
        <v>1.4222330006830479</v>
      </c>
      <c r="Q33" s="16">
        <f t="shared" si="1"/>
        <v>1.4222330006830479</v>
      </c>
      <c r="S33" s="29">
        <v>21</v>
      </c>
      <c r="T33" s="30"/>
      <c r="U33" s="30"/>
      <c r="W33" s="30"/>
      <c r="X33" s="30"/>
      <c r="Y33" s="30"/>
      <c r="Z33" s="31"/>
    </row>
    <row r="34" spans="1:26" ht="15.75" customHeight="1" x14ac:dyDescent="0.15">
      <c r="A34" s="19">
        <v>45784</v>
      </c>
      <c r="B34" s="16">
        <v>11</v>
      </c>
      <c r="C34" s="16">
        <v>3</v>
      </c>
      <c r="E34" s="23" t="s">
        <v>101</v>
      </c>
      <c r="F34" s="16">
        <v>2250</v>
      </c>
      <c r="G34" s="16">
        <v>2250</v>
      </c>
      <c r="H34" s="3">
        <v>3</v>
      </c>
      <c r="I34" s="16" t="s">
        <v>49</v>
      </c>
      <c r="J34" s="16">
        <v>11.2</v>
      </c>
      <c r="K34" s="16">
        <v>5</v>
      </c>
      <c r="L34" s="3" t="s">
        <v>17</v>
      </c>
      <c r="M34" s="3" t="s">
        <v>17</v>
      </c>
      <c r="O34" s="3"/>
      <c r="P34" s="16">
        <f t="shared" si="0"/>
        <v>1.1634987322828794</v>
      </c>
      <c r="Q34" s="16">
        <f t="shared" si="1"/>
        <v>1.1634987322828794</v>
      </c>
      <c r="S34" s="16" t="s">
        <v>104</v>
      </c>
    </row>
    <row r="35" spans="1:26" ht="15.75" customHeight="1" x14ac:dyDescent="0.15">
      <c r="A35" s="19">
        <v>45784</v>
      </c>
      <c r="B35" s="16">
        <v>11</v>
      </c>
      <c r="C35" s="16">
        <v>3</v>
      </c>
      <c r="E35" s="23" t="s">
        <v>102</v>
      </c>
      <c r="F35" s="16">
        <v>1700</v>
      </c>
      <c r="G35" s="16">
        <v>1700</v>
      </c>
      <c r="H35" s="3">
        <v>1</v>
      </c>
      <c r="I35" s="16" t="s">
        <v>49</v>
      </c>
      <c r="J35" s="16">
        <v>16.8</v>
      </c>
      <c r="K35" s="16">
        <v>5</v>
      </c>
      <c r="L35" s="3" t="s">
        <v>17</v>
      </c>
      <c r="M35" s="3" t="s">
        <v>17</v>
      </c>
      <c r="O35" s="3"/>
      <c r="P35" s="16">
        <f t="shared" si="0"/>
        <v>1.7484612330040359</v>
      </c>
      <c r="Q35" s="16">
        <f t="shared" si="1"/>
        <v>1.7484612330040359</v>
      </c>
      <c r="S35" s="24" t="s">
        <v>55</v>
      </c>
      <c r="T35" s="25" t="s">
        <v>32</v>
      </c>
      <c r="U35" s="25" t="s">
        <v>100</v>
      </c>
      <c r="V35" s="25" t="s">
        <v>101</v>
      </c>
      <c r="W35" s="25" t="s">
        <v>102</v>
      </c>
      <c r="X35" s="25"/>
      <c r="Y35" s="25"/>
      <c r="Z35" s="26"/>
    </row>
    <row r="36" spans="1:26" ht="15.75" customHeight="1" x14ac:dyDescent="0.15">
      <c r="A36" s="19">
        <v>45784</v>
      </c>
      <c r="B36" s="16">
        <v>11</v>
      </c>
      <c r="C36" s="16">
        <v>3</v>
      </c>
      <c r="E36" s="23" t="s">
        <v>102</v>
      </c>
      <c r="F36" s="16">
        <v>1700</v>
      </c>
      <c r="G36" s="16">
        <v>1700</v>
      </c>
      <c r="H36" s="3">
        <v>2</v>
      </c>
      <c r="I36" s="16" t="s">
        <v>49</v>
      </c>
      <c r="J36" s="16">
        <v>14.6</v>
      </c>
      <c r="K36" s="16">
        <v>5</v>
      </c>
      <c r="L36" s="3" t="s">
        <v>17</v>
      </c>
      <c r="M36" s="3" t="s">
        <v>17</v>
      </c>
      <c r="O36" s="3"/>
      <c r="P36" s="16">
        <f t="shared" si="0"/>
        <v>1.5459683691052926</v>
      </c>
      <c r="Q36" s="16">
        <f t="shared" si="1"/>
        <v>1.5459683691052926</v>
      </c>
      <c r="S36" s="27">
        <v>0</v>
      </c>
      <c r="T36" s="16">
        <v>0</v>
      </c>
      <c r="U36" s="16">
        <v>0</v>
      </c>
      <c r="V36" s="16">
        <v>0</v>
      </c>
      <c r="W36" s="16">
        <v>0</v>
      </c>
      <c r="Z36" s="28"/>
    </row>
    <row r="37" spans="1:26" ht="15.75" customHeight="1" x14ac:dyDescent="0.15">
      <c r="A37" s="19">
        <v>45784</v>
      </c>
      <c r="B37" s="16">
        <v>11</v>
      </c>
      <c r="C37" s="16">
        <v>3</v>
      </c>
      <c r="E37" s="23" t="s">
        <v>102</v>
      </c>
      <c r="F37" s="16">
        <v>1700</v>
      </c>
      <c r="G37" s="16">
        <v>1700</v>
      </c>
      <c r="H37" s="3">
        <v>3</v>
      </c>
      <c r="I37" s="16" t="s">
        <v>49</v>
      </c>
      <c r="J37" s="16">
        <v>13.4</v>
      </c>
      <c r="K37" s="16">
        <v>5</v>
      </c>
      <c r="L37" s="3" t="s">
        <v>17</v>
      </c>
      <c r="M37" s="3" t="s">
        <v>17</v>
      </c>
      <c r="O37" s="3"/>
      <c r="P37" s="16">
        <f t="shared" si="0"/>
        <v>1.4222330006830479</v>
      </c>
      <c r="Q37" s="16">
        <f t="shared" si="1"/>
        <v>1.4222330006830479</v>
      </c>
      <c r="S37" s="27">
        <v>3</v>
      </c>
      <c r="Z37" s="28"/>
    </row>
    <row r="38" spans="1:26" ht="15.75" customHeight="1" x14ac:dyDescent="0.15">
      <c r="A38" s="19">
        <v>45787</v>
      </c>
      <c r="B38" s="16">
        <v>14</v>
      </c>
      <c r="C38" s="16">
        <v>6</v>
      </c>
      <c r="E38" s="16" t="s">
        <v>32</v>
      </c>
      <c r="F38" s="22">
        <v>2.2499999999999999E-4</v>
      </c>
      <c r="G38" s="22">
        <v>2.2499999999999999E-4</v>
      </c>
      <c r="H38" s="3">
        <v>1</v>
      </c>
      <c r="I38" s="16" t="s">
        <v>49</v>
      </c>
      <c r="J38" s="16">
        <v>15.3</v>
      </c>
      <c r="K38" s="16">
        <v>5</v>
      </c>
      <c r="L38" s="3" t="s">
        <v>17</v>
      </c>
      <c r="M38" s="3" t="s">
        <v>17</v>
      </c>
      <c r="O38" s="3"/>
      <c r="P38" s="16">
        <f t="shared" ref="P38:P109" si="2">LOG(J38/K26,2)</f>
        <v>1.6135316529179271</v>
      </c>
      <c r="Q38" s="16">
        <f t="shared" ref="Q38:Q109" si="3">P38+Q26</f>
        <v>3.8276564582707744</v>
      </c>
      <c r="S38" s="27">
        <v>6</v>
      </c>
      <c r="Z38" s="28"/>
    </row>
    <row r="39" spans="1:26" ht="15.75" customHeight="1" x14ac:dyDescent="0.15">
      <c r="A39" s="19">
        <v>45787</v>
      </c>
      <c r="B39" s="16">
        <v>14</v>
      </c>
      <c r="C39" s="16">
        <v>6</v>
      </c>
      <c r="E39" s="16" t="s">
        <v>32</v>
      </c>
      <c r="F39" s="22">
        <v>2.2499999999999999E-4</v>
      </c>
      <c r="G39" s="22">
        <v>2.2499999999999999E-4</v>
      </c>
      <c r="H39" s="3">
        <v>2</v>
      </c>
      <c r="I39" s="16" t="s">
        <v>49</v>
      </c>
      <c r="J39" s="16">
        <v>14.5</v>
      </c>
      <c r="K39" s="16">
        <v>5</v>
      </c>
      <c r="L39" s="3" t="s">
        <v>17</v>
      </c>
      <c r="M39" s="3" t="s">
        <v>17</v>
      </c>
      <c r="O39" s="3"/>
      <c r="P39" s="16">
        <f t="shared" si="2"/>
        <v>1.5360529002402097</v>
      </c>
      <c r="Q39" s="16">
        <f t="shared" si="3"/>
        <v>3.6735564239901448</v>
      </c>
      <c r="S39" s="27">
        <v>9</v>
      </c>
      <c r="Z39" s="28"/>
    </row>
    <row r="40" spans="1:26" ht="15.75" customHeight="1" x14ac:dyDescent="0.15">
      <c r="A40" s="19">
        <v>45787</v>
      </c>
      <c r="B40" s="16">
        <v>14</v>
      </c>
      <c r="C40" s="16">
        <v>6</v>
      </c>
      <c r="E40" s="16" t="s">
        <v>32</v>
      </c>
      <c r="F40" s="22">
        <v>2.2499999999999999E-4</v>
      </c>
      <c r="G40" s="22">
        <v>2.2499999999999999E-4</v>
      </c>
      <c r="H40" s="3">
        <v>3</v>
      </c>
      <c r="I40" s="16" t="s">
        <v>49</v>
      </c>
      <c r="J40" s="16">
        <v>16.3</v>
      </c>
      <c r="K40" s="16">
        <v>5</v>
      </c>
      <c r="L40" s="3" t="s">
        <v>17</v>
      </c>
      <c r="M40" s="3" t="s">
        <v>17</v>
      </c>
      <c r="O40" s="3"/>
      <c r="P40" s="16">
        <f t="shared" si="2"/>
        <v>1.704871964456353</v>
      </c>
      <c r="Q40" s="16">
        <f t="shared" si="3"/>
        <v>3.9858282782874097</v>
      </c>
      <c r="S40" s="27">
        <v>12</v>
      </c>
      <c r="Z40" s="28"/>
    </row>
    <row r="41" spans="1:26" ht="15.75" customHeight="1" x14ac:dyDescent="0.15">
      <c r="A41" s="19">
        <v>45787</v>
      </c>
      <c r="B41" s="16">
        <v>14</v>
      </c>
      <c r="C41" s="16">
        <v>6</v>
      </c>
      <c r="E41" s="23" t="s">
        <v>100</v>
      </c>
      <c r="F41" s="16">
        <v>130</v>
      </c>
      <c r="G41" s="16">
        <v>130</v>
      </c>
      <c r="H41" s="3">
        <v>1</v>
      </c>
      <c r="I41" s="16" t="s">
        <v>49</v>
      </c>
      <c r="J41" s="16">
        <v>17</v>
      </c>
      <c r="K41" s="16">
        <v>5</v>
      </c>
      <c r="L41" s="3" t="s">
        <v>17</v>
      </c>
      <c r="M41" s="3" t="s">
        <v>17</v>
      </c>
      <c r="O41" s="3"/>
      <c r="P41" s="16">
        <f t="shared" si="2"/>
        <v>1.7655347463629771</v>
      </c>
      <c r="Q41" s="16">
        <f t="shared" si="3"/>
        <v>3.7655347463629774</v>
      </c>
      <c r="S41" s="27">
        <v>15</v>
      </c>
      <c r="Z41" s="28"/>
    </row>
    <row r="42" spans="1:26" ht="15.75" customHeight="1" x14ac:dyDescent="0.15">
      <c r="A42" s="19">
        <v>45787</v>
      </c>
      <c r="B42" s="16">
        <v>14</v>
      </c>
      <c r="C42" s="16">
        <v>6</v>
      </c>
      <c r="E42" s="23" t="s">
        <v>100</v>
      </c>
      <c r="F42" s="16">
        <v>130</v>
      </c>
      <c r="G42" s="16">
        <v>130</v>
      </c>
      <c r="H42" s="3">
        <v>2</v>
      </c>
      <c r="I42" s="16" t="s">
        <v>49</v>
      </c>
      <c r="J42" s="16">
        <v>16.2</v>
      </c>
      <c r="K42" s="16">
        <v>5</v>
      </c>
      <c r="L42" s="3" t="s">
        <v>17</v>
      </c>
      <c r="M42" s="3" t="s">
        <v>17</v>
      </c>
      <c r="O42" s="3"/>
      <c r="P42" s="16">
        <f t="shared" si="2"/>
        <v>1.6959938131098999</v>
      </c>
      <c r="Q42" s="16">
        <f t="shared" si="3"/>
        <v>3.5835190838514874</v>
      </c>
      <c r="S42" s="27">
        <v>18</v>
      </c>
      <c r="Z42" s="28"/>
    </row>
    <row r="43" spans="1:26" ht="15.75" customHeight="1" x14ac:dyDescent="0.15">
      <c r="A43" s="19">
        <v>45787</v>
      </c>
      <c r="B43" s="16">
        <v>14</v>
      </c>
      <c r="C43" s="16">
        <v>6</v>
      </c>
      <c r="E43" s="23" t="s">
        <v>100</v>
      </c>
      <c r="F43" s="16">
        <v>130</v>
      </c>
      <c r="G43" s="16">
        <v>130</v>
      </c>
      <c r="H43" s="3">
        <v>3</v>
      </c>
      <c r="I43" s="16" t="s">
        <v>49</v>
      </c>
      <c r="J43" s="16">
        <v>16.8</v>
      </c>
      <c r="K43" s="16">
        <v>5</v>
      </c>
      <c r="L43" s="3" t="s">
        <v>17</v>
      </c>
      <c r="M43" s="3" t="s">
        <v>17</v>
      </c>
      <c r="O43" s="3"/>
      <c r="P43" s="16">
        <f t="shared" si="2"/>
        <v>1.7484612330040359</v>
      </c>
      <c r="Q43" s="16">
        <f t="shared" si="3"/>
        <v>3.6895675439504676</v>
      </c>
      <c r="S43" s="29">
        <v>21</v>
      </c>
      <c r="T43" s="30"/>
      <c r="U43" s="30"/>
      <c r="W43" s="30"/>
      <c r="X43" s="30"/>
      <c r="Y43" s="30"/>
      <c r="Z43" s="31"/>
    </row>
    <row r="44" spans="1:26" ht="15.75" customHeight="1" x14ac:dyDescent="0.15">
      <c r="A44" s="19">
        <v>45787</v>
      </c>
      <c r="B44" s="16">
        <v>14</v>
      </c>
      <c r="C44" s="16">
        <v>6</v>
      </c>
      <c r="E44" s="23" t="s">
        <v>101</v>
      </c>
      <c r="F44" s="16">
        <v>2250</v>
      </c>
      <c r="G44" s="16">
        <v>2250</v>
      </c>
      <c r="H44" s="3">
        <v>1</v>
      </c>
      <c r="I44" s="16" t="s">
        <v>49</v>
      </c>
      <c r="J44" s="16">
        <v>11</v>
      </c>
      <c r="K44" s="16">
        <v>5</v>
      </c>
      <c r="L44" s="3" t="s">
        <v>17</v>
      </c>
      <c r="M44" s="3" t="s">
        <v>17</v>
      </c>
      <c r="O44" s="3"/>
      <c r="P44" s="16">
        <f t="shared" si="2"/>
        <v>1.1375035237499351</v>
      </c>
      <c r="Q44" s="16">
        <f t="shared" si="3"/>
        <v>2.5916794169357367</v>
      </c>
    </row>
    <row r="45" spans="1:26" ht="15.75" customHeight="1" x14ac:dyDescent="0.15">
      <c r="A45" s="19">
        <v>45787</v>
      </c>
      <c r="B45" s="16">
        <v>14</v>
      </c>
      <c r="C45" s="16">
        <v>6</v>
      </c>
      <c r="E45" s="23" t="s">
        <v>101</v>
      </c>
      <c r="F45" s="16">
        <v>2250</v>
      </c>
      <c r="G45" s="16">
        <v>2250</v>
      </c>
      <c r="H45" s="3">
        <v>2</v>
      </c>
      <c r="I45" s="16" t="s">
        <v>49</v>
      </c>
      <c r="J45" s="16">
        <v>10.4</v>
      </c>
      <c r="K45" s="16">
        <v>5</v>
      </c>
      <c r="L45" s="3" t="s">
        <v>17</v>
      </c>
      <c r="M45" s="3" t="s">
        <v>17</v>
      </c>
      <c r="O45" s="3"/>
      <c r="P45" s="16">
        <f t="shared" si="2"/>
        <v>1.0565835283663676</v>
      </c>
      <c r="Q45" s="16">
        <f t="shared" si="3"/>
        <v>2.4788165290494155</v>
      </c>
    </row>
    <row r="46" spans="1:26" ht="15.75" customHeight="1" x14ac:dyDescent="0.15">
      <c r="A46" s="19">
        <v>45787</v>
      </c>
      <c r="B46" s="16">
        <v>14</v>
      </c>
      <c r="C46" s="16">
        <v>6</v>
      </c>
      <c r="E46" s="23" t="s">
        <v>101</v>
      </c>
      <c r="F46" s="16">
        <v>2250</v>
      </c>
      <c r="G46" s="16">
        <v>2250</v>
      </c>
      <c r="H46" s="3">
        <v>3</v>
      </c>
      <c r="I46" s="16" t="s">
        <v>49</v>
      </c>
      <c r="J46" s="16">
        <v>10.9</v>
      </c>
      <c r="K46" s="16">
        <v>5</v>
      </c>
      <c r="L46" s="3" t="s">
        <v>17</v>
      </c>
      <c r="M46" s="3" t="s">
        <v>17</v>
      </c>
      <c r="O46" s="3"/>
      <c r="P46" s="16">
        <f t="shared" si="2"/>
        <v>1.1243281350022019</v>
      </c>
      <c r="Q46" s="16">
        <f t="shared" si="3"/>
        <v>2.287826867285081</v>
      </c>
    </row>
    <row r="47" spans="1:26" ht="15.75" customHeight="1" x14ac:dyDescent="0.15">
      <c r="A47" s="19">
        <v>45787</v>
      </c>
      <c r="B47" s="16">
        <v>14</v>
      </c>
      <c r="C47" s="16">
        <v>6</v>
      </c>
      <c r="E47" s="23" t="s">
        <v>102</v>
      </c>
      <c r="F47" s="16">
        <v>1700</v>
      </c>
      <c r="G47" s="16">
        <v>1700</v>
      </c>
      <c r="H47" s="3">
        <v>1</v>
      </c>
      <c r="I47" s="16" t="s">
        <v>49</v>
      </c>
      <c r="J47" s="16">
        <v>12.1</v>
      </c>
      <c r="K47" s="16">
        <v>5</v>
      </c>
      <c r="L47" s="3" t="s">
        <v>17</v>
      </c>
      <c r="M47" s="3" t="s">
        <v>17</v>
      </c>
      <c r="O47" s="3"/>
      <c r="P47" s="16">
        <f t="shared" si="2"/>
        <v>1.2750070474998698</v>
      </c>
      <c r="Q47" s="16">
        <f t="shared" si="3"/>
        <v>3.0234682805039057</v>
      </c>
    </row>
    <row r="48" spans="1:26" ht="15.75" customHeight="1" x14ac:dyDescent="0.15">
      <c r="A48" s="19">
        <v>45787</v>
      </c>
      <c r="B48" s="16">
        <v>14</v>
      </c>
      <c r="C48" s="16">
        <v>6</v>
      </c>
      <c r="E48" s="23" t="s">
        <v>102</v>
      </c>
      <c r="F48" s="16">
        <v>1700</v>
      </c>
      <c r="G48" s="16">
        <v>1700</v>
      </c>
      <c r="H48" s="3">
        <v>2</v>
      </c>
      <c r="I48" s="16" t="s">
        <v>49</v>
      </c>
      <c r="J48" s="16">
        <v>11.3</v>
      </c>
      <c r="K48" s="16">
        <v>5</v>
      </c>
      <c r="L48" s="3" t="s">
        <v>17</v>
      </c>
      <c r="M48" s="3" t="s">
        <v>17</v>
      </c>
      <c r="O48" s="3"/>
      <c r="P48" s="16">
        <f t="shared" si="2"/>
        <v>1.1763227726404633</v>
      </c>
      <c r="Q48" s="16">
        <f t="shared" si="3"/>
        <v>2.7222911417457558</v>
      </c>
    </row>
    <row r="49" spans="1:17" ht="15.75" customHeight="1" x14ac:dyDescent="0.15">
      <c r="A49" s="19">
        <v>45787</v>
      </c>
      <c r="B49" s="16">
        <v>14</v>
      </c>
      <c r="C49" s="16">
        <v>6</v>
      </c>
      <c r="E49" s="23" t="s">
        <v>102</v>
      </c>
      <c r="F49" s="16">
        <v>1700</v>
      </c>
      <c r="G49" s="16">
        <v>1700</v>
      </c>
      <c r="H49" s="3">
        <v>3</v>
      </c>
      <c r="I49" s="16" t="s">
        <v>49</v>
      </c>
      <c r="J49" s="16">
        <v>11.7</v>
      </c>
      <c r="K49" s="16">
        <v>5</v>
      </c>
      <c r="L49" s="3" t="s">
        <v>17</v>
      </c>
      <c r="M49" s="3" t="s">
        <v>17</v>
      </c>
      <c r="O49" s="3"/>
      <c r="P49" s="16">
        <f t="shared" si="2"/>
        <v>1.2265085298086797</v>
      </c>
      <c r="Q49" s="16">
        <f t="shared" si="3"/>
        <v>2.6487415304917277</v>
      </c>
    </row>
    <row r="50" spans="1:17" ht="15.75" customHeight="1" x14ac:dyDescent="0.15">
      <c r="A50" s="19">
        <v>45790</v>
      </c>
      <c r="B50" s="16">
        <v>17</v>
      </c>
      <c r="C50" s="16">
        <v>9</v>
      </c>
      <c r="E50" s="16" t="s">
        <v>32</v>
      </c>
      <c r="F50" s="22">
        <v>2.2499999999999999E-4</v>
      </c>
      <c r="G50" s="22">
        <v>2.2499999999999999E-4</v>
      </c>
      <c r="H50" s="3">
        <v>1</v>
      </c>
      <c r="I50" s="16" t="s">
        <v>49</v>
      </c>
      <c r="J50" s="16">
        <v>18</v>
      </c>
      <c r="K50" s="16">
        <v>5</v>
      </c>
      <c r="L50" s="3" t="s">
        <v>17</v>
      </c>
      <c r="M50" s="3" t="s">
        <v>17</v>
      </c>
      <c r="N50" s="18" t="s">
        <v>105</v>
      </c>
      <c r="O50" s="3"/>
      <c r="P50" s="16">
        <f t="shared" si="2"/>
        <v>1.84799690655495</v>
      </c>
      <c r="Q50" s="16">
        <f t="shared" si="3"/>
        <v>5.6756533648257239</v>
      </c>
    </row>
    <row r="51" spans="1:17" ht="14" x14ac:dyDescent="0.15">
      <c r="A51" s="19">
        <v>45790</v>
      </c>
      <c r="B51" s="16">
        <v>17</v>
      </c>
      <c r="C51" s="16">
        <v>9</v>
      </c>
      <c r="E51" s="16" t="s">
        <v>32</v>
      </c>
      <c r="F51" s="22">
        <v>2.2499999999999999E-4</v>
      </c>
      <c r="G51" s="22">
        <v>2.2499999999999999E-4</v>
      </c>
      <c r="H51" s="3">
        <v>2</v>
      </c>
      <c r="I51" s="16" t="s">
        <v>49</v>
      </c>
      <c r="J51" s="16">
        <v>17.5</v>
      </c>
      <c r="K51" s="16">
        <v>5</v>
      </c>
      <c r="L51" s="3" t="s">
        <v>17</v>
      </c>
      <c r="M51" s="3" t="s">
        <v>17</v>
      </c>
      <c r="O51" s="3"/>
      <c r="P51" s="16">
        <f t="shared" si="2"/>
        <v>1.8073549220576042</v>
      </c>
      <c r="Q51" s="16">
        <f t="shared" si="3"/>
        <v>5.4809113460477494</v>
      </c>
    </row>
    <row r="52" spans="1:17" ht="14" x14ac:dyDescent="0.15">
      <c r="A52" s="19">
        <v>45790</v>
      </c>
      <c r="B52" s="16">
        <v>17</v>
      </c>
      <c r="C52" s="16">
        <v>9</v>
      </c>
      <c r="E52" s="16" t="s">
        <v>32</v>
      </c>
      <c r="F52" s="22">
        <v>2.2499999999999999E-4</v>
      </c>
      <c r="G52" s="22">
        <v>2.2499999999999999E-4</v>
      </c>
      <c r="H52" s="3">
        <v>3</v>
      </c>
      <c r="I52" s="16" t="s">
        <v>49</v>
      </c>
      <c r="J52" s="16">
        <v>19.8</v>
      </c>
      <c r="K52" s="16">
        <v>5</v>
      </c>
      <c r="L52" s="3" t="s">
        <v>17</v>
      </c>
      <c r="M52" s="3" t="s">
        <v>17</v>
      </c>
      <c r="O52" s="3"/>
      <c r="P52" s="16">
        <f t="shared" si="2"/>
        <v>1.9855004303048851</v>
      </c>
      <c r="Q52" s="16">
        <f t="shared" si="3"/>
        <v>5.9713287085922948</v>
      </c>
    </row>
    <row r="53" spans="1:17" ht="14" x14ac:dyDescent="0.15">
      <c r="A53" s="19">
        <v>45790</v>
      </c>
      <c r="B53" s="16">
        <v>17</v>
      </c>
      <c r="C53" s="16">
        <v>9</v>
      </c>
      <c r="E53" s="23" t="s">
        <v>100</v>
      </c>
      <c r="F53" s="16">
        <v>130</v>
      </c>
      <c r="G53" s="18">
        <v>260</v>
      </c>
      <c r="H53" s="3">
        <v>1</v>
      </c>
      <c r="I53" s="16" t="s">
        <v>49</v>
      </c>
      <c r="J53" s="16">
        <v>16.2</v>
      </c>
      <c r="K53" s="16">
        <v>5</v>
      </c>
      <c r="L53" s="3" t="s">
        <v>17</v>
      </c>
      <c r="M53" s="3" t="s">
        <v>17</v>
      </c>
      <c r="N53" s="18" t="s">
        <v>106</v>
      </c>
      <c r="O53" s="3"/>
      <c r="P53" s="16">
        <f t="shared" si="2"/>
        <v>1.6959938131098999</v>
      </c>
      <c r="Q53" s="16">
        <f t="shared" si="3"/>
        <v>5.4615285594728773</v>
      </c>
    </row>
    <row r="54" spans="1:17" ht="14" x14ac:dyDescent="0.15">
      <c r="A54" s="19">
        <v>45790</v>
      </c>
      <c r="B54" s="16">
        <v>17</v>
      </c>
      <c r="C54" s="16">
        <v>9</v>
      </c>
      <c r="E54" s="23" t="s">
        <v>100</v>
      </c>
      <c r="F54" s="16">
        <v>130</v>
      </c>
      <c r="G54" s="18">
        <v>260</v>
      </c>
      <c r="H54" s="3">
        <v>2</v>
      </c>
      <c r="I54" s="16" t="s">
        <v>49</v>
      </c>
      <c r="J54" s="16">
        <v>15.8</v>
      </c>
      <c r="K54" s="16">
        <v>5</v>
      </c>
      <c r="L54" s="3" t="s">
        <v>17</v>
      </c>
      <c r="M54" s="3" t="s">
        <v>17</v>
      </c>
      <c r="O54" s="3"/>
      <c r="P54" s="16">
        <f t="shared" si="2"/>
        <v>1.6599245584023783</v>
      </c>
      <c r="Q54" s="16">
        <f t="shared" si="3"/>
        <v>5.2434436422538653</v>
      </c>
    </row>
    <row r="55" spans="1:17" ht="14" x14ac:dyDescent="0.15">
      <c r="A55" s="19">
        <v>45790</v>
      </c>
      <c r="B55" s="16">
        <v>17</v>
      </c>
      <c r="C55" s="16">
        <v>9</v>
      </c>
      <c r="E55" s="23" t="s">
        <v>100</v>
      </c>
      <c r="F55" s="16">
        <v>130</v>
      </c>
      <c r="G55" s="18">
        <v>260</v>
      </c>
      <c r="H55" s="3">
        <v>3</v>
      </c>
      <c r="I55" s="16" t="s">
        <v>49</v>
      </c>
      <c r="J55" s="16">
        <v>16.8</v>
      </c>
      <c r="K55" s="16">
        <v>5</v>
      </c>
      <c r="L55" s="3" t="s">
        <v>17</v>
      </c>
      <c r="M55" s="3" t="s">
        <v>17</v>
      </c>
      <c r="O55" s="3"/>
      <c r="P55" s="16">
        <f t="shared" si="2"/>
        <v>1.7484612330040359</v>
      </c>
      <c r="Q55" s="16">
        <f t="shared" si="3"/>
        <v>5.4380287769545035</v>
      </c>
    </row>
    <row r="56" spans="1:17" ht="14" x14ac:dyDescent="0.15">
      <c r="A56" s="19">
        <v>45790</v>
      </c>
      <c r="B56" s="16">
        <v>17</v>
      </c>
      <c r="C56" s="16">
        <v>9</v>
      </c>
      <c r="E56" s="23" t="s">
        <v>101</v>
      </c>
      <c r="F56" s="16">
        <v>2250</v>
      </c>
      <c r="G56" s="18">
        <v>3000</v>
      </c>
      <c r="H56" s="3">
        <v>1</v>
      </c>
      <c r="I56" s="16" t="s">
        <v>49</v>
      </c>
      <c r="J56" s="16">
        <v>14.1</v>
      </c>
      <c r="K56" s="16">
        <v>5</v>
      </c>
      <c r="L56" s="3" t="s">
        <v>17</v>
      </c>
      <c r="M56" s="3" t="s">
        <v>17</v>
      </c>
      <c r="N56" s="18" t="s">
        <v>106</v>
      </c>
      <c r="O56" s="3"/>
      <c r="P56" s="16">
        <f t="shared" si="2"/>
        <v>1.4956951626240689</v>
      </c>
      <c r="Q56" s="16">
        <f t="shared" si="3"/>
        <v>4.0873745795598051</v>
      </c>
    </row>
    <row r="57" spans="1:17" ht="14" x14ac:dyDescent="0.15">
      <c r="A57" s="19">
        <v>45790</v>
      </c>
      <c r="B57" s="16">
        <v>17</v>
      </c>
      <c r="C57" s="16">
        <v>9</v>
      </c>
      <c r="E57" s="23" t="s">
        <v>101</v>
      </c>
      <c r="F57" s="16">
        <v>2250</v>
      </c>
      <c r="G57" s="18">
        <v>3000</v>
      </c>
      <c r="H57" s="3">
        <v>2</v>
      </c>
      <c r="I57" s="16" t="s">
        <v>49</v>
      </c>
      <c r="J57" s="16">
        <v>12</v>
      </c>
      <c r="K57" s="16">
        <v>5</v>
      </c>
      <c r="L57" s="3" t="s">
        <v>17</v>
      </c>
      <c r="M57" s="3" t="s">
        <v>17</v>
      </c>
      <c r="O57" s="3"/>
      <c r="P57" s="16">
        <f t="shared" si="2"/>
        <v>1.2630344058337937</v>
      </c>
      <c r="Q57" s="16">
        <f t="shared" si="3"/>
        <v>3.7418509348832094</v>
      </c>
    </row>
    <row r="58" spans="1:17" ht="14" x14ac:dyDescent="0.15">
      <c r="A58" s="19">
        <v>45790</v>
      </c>
      <c r="B58" s="16">
        <v>17</v>
      </c>
      <c r="C58" s="16">
        <v>9</v>
      </c>
      <c r="E58" s="23" t="s">
        <v>101</v>
      </c>
      <c r="F58" s="16">
        <v>2250</v>
      </c>
      <c r="G58" s="18">
        <v>3000</v>
      </c>
      <c r="H58" s="3">
        <v>3</v>
      </c>
      <c r="I58" s="16" t="s">
        <v>49</v>
      </c>
      <c r="J58" s="16">
        <v>15.4</v>
      </c>
      <c r="K58" s="16">
        <v>5</v>
      </c>
      <c r="L58" s="3" t="s">
        <v>17</v>
      </c>
      <c r="M58" s="3" t="s">
        <v>17</v>
      </c>
      <c r="O58" s="3"/>
      <c r="P58" s="16">
        <f t="shared" si="2"/>
        <v>1.6229303509201767</v>
      </c>
      <c r="Q58" s="16">
        <f t="shared" si="3"/>
        <v>3.9107572182052577</v>
      </c>
    </row>
    <row r="59" spans="1:17" ht="14" x14ac:dyDescent="0.15">
      <c r="A59" s="19">
        <v>45790</v>
      </c>
      <c r="B59" s="16">
        <v>17</v>
      </c>
      <c r="C59" s="16">
        <v>9</v>
      </c>
      <c r="E59" s="23" t="s">
        <v>102</v>
      </c>
      <c r="F59" s="16">
        <v>1700</v>
      </c>
      <c r="G59" s="16">
        <v>1700</v>
      </c>
      <c r="H59" s="3">
        <v>1</v>
      </c>
      <c r="I59" s="16" t="s">
        <v>49</v>
      </c>
      <c r="J59" s="16">
        <v>11.2</v>
      </c>
      <c r="K59" s="16">
        <v>5</v>
      </c>
      <c r="L59" s="3" t="s">
        <v>17</v>
      </c>
      <c r="M59" s="3" t="s">
        <v>17</v>
      </c>
      <c r="O59" s="3"/>
      <c r="P59" s="16">
        <f t="shared" si="2"/>
        <v>1.1634987322828794</v>
      </c>
      <c r="Q59" s="16">
        <f t="shared" si="3"/>
        <v>4.1869670127867851</v>
      </c>
    </row>
    <row r="60" spans="1:17" ht="14" x14ac:dyDescent="0.15">
      <c r="A60" s="19">
        <v>45790</v>
      </c>
      <c r="B60" s="16">
        <v>17</v>
      </c>
      <c r="C60" s="16">
        <v>9</v>
      </c>
      <c r="E60" s="23" t="s">
        <v>102</v>
      </c>
      <c r="F60" s="16">
        <v>1700</v>
      </c>
      <c r="G60" s="16">
        <v>1700</v>
      </c>
      <c r="H60" s="3">
        <v>2</v>
      </c>
      <c r="I60" s="16" t="s">
        <v>49</v>
      </c>
      <c r="J60" s="16">
        <v>10.3</v>
      </c>
      <c r="K60" s="16">
        <v>5</v>
      </c>
      <c r="L60" s="3" t="s">
        <v>17</v>
      </c>
      <c r="M60" s="3" t="s">
        <v>17</v>
      </c>
      <c r="O60" s="3"/>
      <c r="P60" s="16">
        <f t="shared" si="2"/>
        <v>1.0426443374084939</v>
      </c>
      <c r="Q60" s="16">
        <f t="shared" si="3"/>
        <v>3.76493547915425</v>
      </c>
    </row>
    <row r="61" spans="1:17" ht="14" x14ac:dyDescent="0.15">
      <c r="A61" s="19">
        <v>45790</v>
      </c>
      <c r="B61" s="16">
        <v>17</v>
      </c>
      <c r="C61" s="16">
        <v>9</v>
      </c>
      <c r="E61" s="23" t="s">
        <v>102</v>
      </c>
      <c r="F61" s="16">
        <v>1700</v>
      </c>
      <c r="G61" s="16">
        <v>1700</v>
      </c>
      <c r="H61" s="3">
        <v>3</v>
      </c>
      <c r="I61" s="16" t="s">
        <v>49</v>
      </c>
      <c r="J61" s="16">
        <v>10.8</v>
      </c>
      <c r="K61" s="16">
        <v>5</v>
      </c>
      <c r="L61" s="3" t="s">
        <v>17</v>
      </c>
      <c r="M61" s="3" t="s">
        <v>17</v>
      </c>
      <c r="O61" s="3"/>
      <c r="P61" s="16">
        <f t="shared" si="2"/>
        <v>1.1110313123887441</v>
      </c>
      <c r="Q61" s="16">
        <f t="shared" si="3"/>
        <v>3.759772842880472</v>
      </c>
    </row>
    <row r="62" spans="1:17" ht="13" x14ac:dyDescent="0.15">
      <c r="A62" s="19">
        <v>45793</v>
      </c>
      <c r="B62" s="16">
        <v>20</v>
      </c>
      <c r="C62" s="16">
        <v>12</v>
      </c>
      <c r="E62" s="16" t="s">
        <v>32</v>
      </c>
      <c r="F62" s="22">
        <v>2.2499999999999999E-4</v>
      </c>
      <c r="G62" s="22">
        <v>2.2499999999999999E-4</v>
      </c>
      <c r="H62" s="3">
        <v>1</v>
      </c>
      <c r="I62" s="16" t="s">
        <v>49</v>
      </c>
      <c r="J62" s="16">
        <v>13.5</v>
      </c>
      <c r="K62" s="16">
        <v>5</v>
      </c>
      <c r="L62" s="16">
        <v>1</v>
      </c>
      <c r="M62" s="16">
        <v>5</v>
      </c>
      <c r="O62" s="3"/>
      <c r="P62" s="16">
        <f t="shared" si="2"/>
        <v>1.4329594072761063</v>
      </c>
      <c r="Q62" s="16">
        <f t="shared" si="3"/>
        <v>7.1086127721018304</v>
      </c>
    </row>
    <row r="63" spans="1:17" ht="13" x14ac:dyDescent="0.15">
      <c r="A63" s="19">
        <v>45793</v>
      </c>
      <c r="B63" s="16">
        <v>20</v>
      </c>
      <c r="C63" s="16">
        <v>12</v>
      </c>
      <c r="E63" s="16" t="s">
        <v>32</v>
      </c>
      <c r="F63" s="22">
        <v>2.2499999999999999E-4</v>
      </c>
      <c r="G63" s="22">
        <v>2.2499999999999999E-4</v>
      </c>
      <c r="H63" s="3">
        <v>2</v>
      </c>
      <c r="I63" s="16" t="s">
        <v>49</v>
      </c>
      <c r="J63" s="16">
        <v>14.9</v>
      </c>
      <c r="K63" s="16">
        <v>5</v>
      </c>
      <c r="L63" s="16">
        <v>1</v>
      </c>
      <c r="M63" s="16">
        <v>5</v>
      </c>
      <c r="O63" s="3"/>
      <c r="P63" s="16">
        <f t="shared" si="2"/>
        <v>1.5753123306874368</v>
      </c>
      <c r="Q63" s="16">
        <f t="shared" si="3"/>
        <v>7.0562236767351862</v>
      </c>
    </row>
    <row r="64" spans="1:17" ht="13" x14ac:dyDescent="0.15">
      <c r="A64" s="19">
        <v>45793</v>
      </c>
      <c r="B64" s="16">
        <v>20</v>
      </c>
      <c r="C64" s="16">
        <v>12</v>
      </c>
      <c r="E64" s="16" t="s">
        <v>32</v>
      </c>
      <c r="F64" s="22">
        <v>2.2499999999999999E-4</v>
      </c>
      <c r="G64" s="22">
        <v>2.2499999999999999E-4</v>
      </c>
      <c r="H64" s="3">
        <v>3</v>
      </c>
      <c r="I64" s="16" t="s">
        <v>49</v>
      </c>
      <c r="J64" s="16">
        <v>17.3</v>
      </c>
      <c r="K64" s="16">
        <v>5</v>
      </c>
      <c r="L64" s="16">
        <v>1</v>
      </c>
      <c r="M64" s="16">
        <v>5</v>
      </c>
      <c r="O64" s="3"/>
      <c r="P64" s="16">
        <f t="shared" si="2"/>
        <v>1.790772037862</v>
      </c>
      <c r="Q64" s="16">
        <f t="shared" si="3"/>
        <v>7.762100746454295</v>
      </c>
    </row>
    <row r="65" spans="1:17" ht="13" x14ac:dyDescent="0.15">
      <c r="A65" s="19">
        <v>45793</v>
      </c>
      <c r="B65" s="16">
        <v>20</v>
      </c>
      <c r="C65" s="16">
        <v>12</v>
      </c>
      <c r="E65" s="23" t="s">
        <v>100</v>
      </c>
      <c r="F65" s="16">
        <v>130</v>
      </c>
      <c r="G65" s="18">
        <v>520</v>
      </c>
      <c r="H65" s="3">
        <v>1</v>
      </c>
      <c r="I65" s="16" t="s">
        <v>49</v>
      </c>
      <c r="J65" s="16">
        <v>12.3</v>
      </c>
      <c r="K65" s="16">
        <v>5</v>
      </c>
      <c r="L65" s="16">
        <v>1</v>
      </c>
      <c r="M65" s="16">
        <v>5</v>
      </c>
      <c r="N65" s="18" t="s">
        <v>107</v>
      </c>
      <c r="O65" s="3"/>
      <c r="P65" s="16">
        <f t="shared" si="2"/>
        <v>1.2986583155645153</v>
      </c>
      <c r="Q65" s="16">
        <f t="shared" si="3"/>
        <v>6.7601868750373928</v>
      </c>
    </row>
    <row r="66" spans="1:17" ht="13" x14ac:dyDescent="0.15">
      <c r="A66" s="19">
        <v>45793</v>
      </c>
      <c r="B66" s="16">
        <v>20</v>
      </c>
      <c r="C66" s="16">
        <v>12</v>
      </c>
      <c r="E66" s="23" t="s">
        <v>100</v>
      </c>
      <c r="F66" s="16">
        <v>130</v>
      </c>
      <c r="G66" s="18">
        <v>520</v>
      </c>
      <c r="H66" s="3">
        <v>2</v>
      </c>
      <c r="I66" s="16" t="s">
        <v>49</v>
      </c>
      <c r="J66" s="16">
        <v>12.6</v>
      </c>
      <c r="K66" s="16">
        <v>5</v>
      </c>
      <c r="L66" s="16">
        <v>1</v>
      </c>
      <c r="M66" s="16">
        <v>5</v>
      </c>
      <c r="O66" s="3"/>
      <c r="P66" s="16">
        <f t="shared" si="2"/>
        <v>1.3334237337251917</v>
      </c>
      <c r="Q66" s="16">
        <f t="shared" si="3"/>
        <v>6.5768673759790568</v>
      </c>
    </row>
    <row r="67" spans="1:17" ht="13" x14ac:dyDescent="0.15">
      <c r="A67" s="19">
        <v>45793</v>
      </c>
      <c r="B67" s="16">
        <v>20</v>
      </c>
      <c r="C67" s="16">
        <v>12</v>
      </c>
      <c r="E67" s="23" t="s">
        <v>100</v>
      </c>
      <c r="F67" s="16">
        <v>130</v>
      </c>
      <c r="G67" s="18">
        <v>520</v>
      </c>
      <c r="H67" s="3">
        <v>3</v>
      </c>
      <c r="I67" s="16" t="s">
        <v>49</v>
      </c>
      <c r="J67" s="16">
        <v>10.3</v>
      </c>
      <c r="K67" s="16">
        <v>5</v>
      </c>
      <c r="L67" s="16">
        <v>1</v>
      </c>
      <c r="M67" s="16">
        <v>5</v>
      </c>
      <c r="O67" s="3"/>
      <c r="P67" s="16">
        <f t="shared" si="2"/>
        <v>1.0426443374084939</v>
      </c>
      <c r="Q67" s="16">
        <f t="shared" si="3"/>
        <v>6.4806731143629976</v>
      </c>
    </row>
    <row r="68" spans="1:17" ht="13" x14ac:dyDescent="0.15">
      <c r="A68" s="19">
        <v>45793</v>
      </c>
      <c r="B68" s="16">
        <v>20</v>
      </c>
      <c r="C68" s="16">
        <v>12</v>
      </c>
      <c r="E68" s="23" t="s">
        <v>101</v>
      </c>
      <c r="F68" s="16">
        <v>2250</v>
      </c>
      <c r="G68" s="18">
        <v>3000</v>
      </c>
      <c r="H68" s="3">
        <v>1</v>
      </c>
      <c r="I68" s="16" t="s">
        <v>49</v>
      </c>
      <c r="J68" s="16">
        <v>9.75</v>
      </c>
      <c r="K68" s="16">
        <v>5</v>
      </c>
      <c r="L68" s="16">
        <v>1</v>
      </c>
      <c r="M68" s="16">
        <v>5</v>
      </c>
      <c r="O68" s="3"/>
      <c r="P68" s="16">
        <f t="shared" si="2"/>
        <v>0.96347412397488608</v>
      </c>
      <c r="Q68" s="16">
        <f t="shared" si="3"/>
        <v>5.0508487035346912</v>
      </c>
    </row>
    <row r="69" spans="1:17" ht="13" x14ac:dyDescent="0.15">
      <c r="A69" s="19">
        <v>45793</v>
      </c>
      <c r="B69" s="16">
        <v>20</v>
      </c>
      <c r="C69" s="16">
        <v>12</v>
      </c>
      <c r="E69" s="23" t="s">
        <v>101</v>
      </c>
      <c r="F69" s="16">
        <v>2250</v>
      </c>
      <c r="G69" s="18">
        <v>3000</v>
      </c>
      <c r="H69" s="3">
        <v>2</v>
      </c>
      <c r="I69" s="16" t="s">
        <v>49</v>
      </c>
      <c r="J69" s="16">
        <v>9.85</v>
      </c>
      <c r="K69" s="16">
        <v>5</v>
      </c>
      <c r="L69" s="16">
        <v>1</v>
      </c>
      <c r="M69" s="16">
        <v>5</v>
      </c>
      <c r="O69" s="3"/>
      <c r="P69" s="16">
        <f t="shared" si="2"/>
        <v>0.97819562968165163</v>
      </c>
      <c r="Q69" s="16">
        <f t="shared" si="3"/>
        <v>4.7200465645648606</v>
      </c>
    </row>
    <row r="70" spans="1:17" ht="13" x14ac:dyDescent="0.15">
      <c r="A70" s="19">
        <v>45793</v>
      </c>
      <c r="B70" s="16">
        <v>20</v>
      </c>
      <c r="C70" s="16">
        <v>12</v>
      </c>
      <c r="E70" s="23" t="s">
        <v>101</v>
      </c>
      <c r="F70" s="16">
        <v>2250</v>
      </c>
      <c r="G70" s="18">
        <v>3000</v>
      </c>
      <c r="H70" s="3">
        <v>3</v>
      </c>
      <c r="I70" s="16" t="s">
        <v>49</v>
      </c>
      <c r="J70" s="16">
        <v>7.52</v>
      </c>
      <c r="K70" s="16">
        <v>5</v>
      </c>
      <c r="L70" s="16">
        <v>1</v>
      </c>
      <c r="M70" s="16">
        <v>5</v>
      </c>
      <c r="O70" s="3"/>
      <c r="P70" s="16">
        <f t="shared" si="2"/>
        <v>0.5888045670155504</v>
      </c>
      <c r="Q70" s="16">
        <f t="shared" si="3"/>
        <v>4.4995617852208083</v>
      </c>
    </row>
    <row r="71" spans="1:17" ht="13" x14ac:dyDescent="0.15">
      <c r="A71" s="19">
        <v>45793</v>
      </c>
      <c r="B71" s="16">
        <v>20</v>
      </c>
      <c r="C71" s="16">
        <v>12</v>
      </c>
      <c r="E71" s="23" t="s">
        <v>102</v>
      </c>
      <c r="F71" s="16">
        <v>1700</v>
      </c>
      <c r="G71" s="16">
        <v>1700</v>
      </c>
      <c r="H71" s="3">
        <v>1</v>
      </c>
      <c r="I71" s="16" t="s">
        <v>49</v>
      </c>
      <c r="J71" s="16">
        <v>10.7</v>
      </c>
      <c r="K71" s="16">
        <v>5</v>
      </c>
      <c r="L71" s="16">
        <v>1</v>
      </c>
      <c r="M71" s="16">
        <v>5</v>
      </c>
      <c r="O71" s="3"/>
      <c r="P71" s="16">
        <f t="shared" si="2"/>
        <v>1.0976107966264219</v>
      </c>
      <c r="Q71" s="16">
        <f t="shared" si="3"/>
        <v>5.2845778094132072</v>
      </c>
    </row>
    <row r="72" spans="1:17" ht="13" x14ac:dyDescent="0.15">
      <c r="A72" s="19">
        <v>45793</v>
      </c>
      <c r="B72" s="16">
        <v>20</v>
      </c>
      <c r="C72" s="16">
        <v>12</v>
      </c>
      <c r="E72" s="23" t="s">
        <v>102</v>
      </c>
      <c r="F72" s="16">
        <v>1700</v>
      </c>
      <c r="G72" s="16">
        <v>1700</v>
      </c>
      <c r="H72" s="3">
        <v>2</v>
      </c>
      <c r="I72" s="16" t="s">
        <v>49</v>
      </c>
      <c r="J72" s="16">
        <v>10.199999999999999</v>
      </c>
      <c r="K72" s="16">
        <v>5</v>
      </c>
      <c r="L72" s="16">
        <v>1</v>
      </c>
      <c r="M72" s="16">
        <v>5</v>
      </c>
      <c r="O72" s="3"/>
      <c r="P72" s="16">
        <f t="shared" si="2"/>
        <v>1.028569152196771</v>
      </c>
      <c r="Q72" s="16">
        <f t="shared" si="3"/>
        <v>4.7935046313510208</v>
      </c>
    </row>
    <row r="73" spans="1:17" ht="13" x14ac:dyDescent="0.15">
      <c r="A73" s="19">
        <v>45793</v>
      </c>
      <c r="B73" s="16">
        <v>20</v>
      </c>
      <c r="C73" s="16">
        <v>12</v>
      </c>
      <c r="E73" s="23" t="s">
        <v>102</v>
      </c>
      <c r="F73" s="16">
        <v>1700</v>
      </c>
      <c r="G73" s="16">
        <v>1700</v>
      </c>
      <c r="H73" s="3">
        <v>3</v>
      </c>
      <c r="I73" s="16" t="s">
        <v>49</v>
      </c>
      <c r="J73" s="16">
        <v>10.9</v>
      </c>
      <c r="K73" s="16">
        <v>5</v>
      </c>
      <c r="L73" s="16">
        <v>1</v>
      </c>
      <c r="M73" s="16">
        <v>5</v>
      </c>
      <c r="O73" s="3"/>
      <c r="P73" s="16">
        <f t="shared" si="2"/>
        <v>1.1243281350022019</v>
      </c>
      <c r="Q73" s="16">
        <f t="shared" si="3"/>
        <v>4.8841009778826736</v>
      </c>
    </row>
    <row r="74" spans="1:17" ht="13" x14ac:dyDescent="0.15">
      <c r="A74" s="19">
        <v>45796</v>
      </c>
      <c r="B74" s="16">
        <v>23</v>
      </c>
      <c r="C74" s="16">
        <v>15</v>
      </c>
      <c r="E74" s="16" t="s">
        <v>32</v>
      </c>
      <c r="F74" s="22">
        <v>2.2499999999999999E-4</v>
      </c>
      <c r="G74" s="22">
        <v>2.2499999999999999E-4</v>
      </c>
      <c r="H74" s="3">
        <v>1</v>
      </c>
      <c r="I74" s="16" t="s">
        <v>49</v>
      </c>
      <c r="J74" s="16">
        <v>18.8</v>
      </c>
      <c r="K74" s="16">
        <v>5</v>
      </c>
      <c r="L74" s="16">
        <v>1</v>
      </c>
      <c r="M74" s="16">
        <v>5</v>
      </c>
      <c r="O74" s="3"/>
      <c r="P74" s="16">
        <f t="shared" si="2"/>
        <v>1.910732661902913</v>
      </c>
      <c r="Q74" s="16">
        <f t="shared" si="3"/>
        <v>9.0193454340047428</v>
      </c>
    </row>
    <row r="75" spans="1:17" ht="13" x14ac:dyDescent="0.15">
      <c r="A75" s="19">
        <v>45796</v>
      </c>
      <c r="B75" s="16">
        <v>23</v>
      </c>
      <c r="C75" s="16">
        <v>15</v>
      </c>
      <c r="E75" s="16" t="s">
        <v>32</v>
      </c>
      <c r="F75" s="22">
        <v>2.2499999999999999E-4</v>
      </c>
      <c r="G75" s="22">
        <v>2.2499999999999999E-4</v>
      </c>
      <c r="H75" s="3">
        <v>2</v>
      </c>
      <c r="I75" s="16" t="s">
        <v>49</v>
      </c>
      <c r="J75" s="16">
        <v>18</v>
      </c>
      <c r="K75" s="16">
        <v>5</v>
      </c>
      <c r="L75" s="16">
        <v>1</v>
      </c>
      <c r="M75" s="16">
        <v>5</v>
      </c>
      <c r="O75" s="3"/>
      <c r="P75" s="16">
        <f t="shared" si="2"/>
        <v>1.84799690655495</v>
      </c>
      <c r="Q75" s="16">
        <f t="shared" si="3"/>
        <v>8.9042205832901367</v>
      </c>
    </row>
    <row r="76" spans="1:17" ht="13" x14ac:dyDescent="0.15">
      <c r="A76" s="19">
        <v>45796</v>
      </c>
      <c r="B76" s="16">
        <v>23</v>
      </c>
      <c r="C76" s="16">
        <v>15</v>
      </c>
      <c r="E76" s="16" t="s">
        <v>32</v>
      </c>
      <c r="F76" s="22">
        <v>2.2499999999999999E-4</v>
      </c>
      <c r="G76" s="22">
        <v>2.2499999999999999E-4</v>
      </c>
      <c r="H76" s="3">
        <v>3</v>
      </c>
      <c r="I76" s="16" t="s">
        <v>49</v>
      </c>
      <c r="J76" s="16">
        <v>18.399999999999999</v>
      </c>
      <c r="K76" s="16">
        <v>5</v>
      </c>
      <c r="L76" s="16">
        <v>1</v>
      </c>
      <c r="M76" s="16">
        <v>5</v>
      </c>
      <c r="O76" s="3"/>
      <c r="P76" s="16">
        <f t="shared" si="2"/>
        <v>1.879705766282288</v>
      </c>
      <c r="Q76" s="16">
        <f t="shared" si="3"/>
        <v>9.6418065127365828</v>
      </c>
    </row>
    <row r="77" spans="1:17" ht="14" x14ac:dyDescent="0.15">
      <c r="A77" s="19">
        <v>45796</v>
      </c>
      <c r="B77" s="16">
        <v>23</v>
      </c>
      <c r="C77" s="16">
        <v>15</v>
      </c>
      <c r="E77" s="23" t="s">
        <v>100</v>
      </c>
      <c r="F77" s="16">
        <v>130</v>
      </c>
      <c r="G77" s="18">
        <v>0</v>
      </c>
      <c r="H77" s="3">
        <v>1</v>
      </c>
      <c r="I77" s="16" t="s">
        <v>49</v>
      </c>
      <c r="J77" s="16">
        <v>3.81</v>
      </c>
      <c r="K77" s="16">
        <v>3.81</v>
      </c>
      <c r="L77" s="3" t="s">
        <v>17</v>
      </c>
      <c r="M77" s="3" t="s">
        <v>17</v>
      </c>
      <c r="N77" s="18" t="s">
        <v>108</v>
      </c>
      <c r="O77" s="3"/>
      <c r="P77" s="16">
        <f t="shared" si="2"/>
        <v>-0.39213709716876499</v>
      </c>
      <c r="Q77" s="16">
        <f t="shared" si="3"/>
        <v>6.3680497778686274</v>
      </c>
    </row>
    <row r="78" spans="1:17" ht="14" x14ac:dyDescent="0.15">
      <c r="A78" s="19">
        <v>45796</v>
      </c>
      <c r="B78" s="16">
        <v>23</v>
      </c>
      <c r="C78" s="16">
        <v>15</v>
      </c>
      <c r="E78" s="23" t="s">
        <v>100</v>
      </c>
      <c r="F78" s="16">
        <v>130</v>
      </c>
      <c r="G78" s="18">
        <v>0</v>
      </c>
      <c r="H78" s="3">
        <v>2</v>
      </c>
      <c r="I78" s="16" t="s">
        <v>49</v>
      </c>
      <c r="J78" s="16">
        <v>3.18</v>
      </c>
      <c r="K78" s="16">
        <v>3.18</v>
      </c>
      <c r="L78" s="3" t="s">
        <v>17</v>
      </c>
      <c r="M78" s="3" t="s">
        <v>17</v>
      </c>
      <c r="O78" s="3"/>
      <c r="P78" s="16">
        <f t="shared" si="2"/>
        <v>-0.65290132937773171</v>
      </c>
      <c r="Q78" s="16">
        <f t="shared" si="3"/>
        <v>5.9239660466013255</v>
      </c>
    </row>
    <row r="79" spans="1:17" ht="14" x14ac:dyDescent="0.15">
      <c r="A79" s="19">
        <v>45796</v>
      </c>
      <c r="B79" s="16">
        <v>23</v>
      </c>
      <c r="C79" s="16">
        <v>15</v>
      </c>
      <c r="E79" s="23" t="s">
        <v>100</v>
      </c>
      <c r="F79" s="16">
        <v>130</v>
      </c>
      <c r="G79" s="18">
        <v>0</v>
      </c>
      <c r="H79" s="3">
        <v>3</v>
      </c>
      <c r="I79" s="16" t="s">
        <v>49</v>
      </c>
      <c r="J79" s="16">
        <v>3.38</v>
      </c>
      <c r="K79" s="16">
        <v>3.38</v>
      </c>
      <c r="L79" s="3" t="s">
        <v>17</v>
      </c>
      <c r="M79" s="3" t="s">
        <v>17</v>
      </c>
      <c r="O79" s="3"/>
      <c r="P79" s="16">
        <f t="shared" si="2"/>
        <v>-0.56490484837990285</v>
      </c>
      <c r="Q79" s="16">
        <f t="shared" si="3"/>
        <v>5.915768265983095</v>
      </c>
    </row>
    <row r="80" spans="1:17" ht="13" x14ac:dyDescent="0.15">
      <c r="A80" s="19">
        <v>45796</v>
      </c>
      <c r="B80" s="16">
        <v>23</v>
      </c>
      <c r="C80" s="16">
        <v>15</v>
      </c>
      <c r="E80" s="23" t="s">
        <v>101</v>
      </c>
      <c r="F80" s="16">
        <v>2250</v>
      </c>
      <c r="G80" s="18">
        <v>3000</v>
      </c>
      <c r="H80" s="3">
        <v>1</v>
      </c>
      <c r="I80" s="16" t="s">
        <v>49</v>
      </c>
      <c r="J80" s="16">
        <v>7.35</v>
      </c>
      <c r="K80" s="16">
        <v>5</v>
      </c>
      <c r="L80" s="16">
        <v>1</v>
      </c>
      <c r="M80" s="16">
        <v>5</v>
      </c>
      <c r="O80" s="3"/>
      <c r="P80" s="16">
        <f t="shared" si="2"/>
        <v>0.55581615506163962</v>
      </c>
      <c r="Q80" s="16">
        <f t="shared" si="3"/>
        <v>5.6066648585963303</v>
      </c>
    </row>
    <row r="81" spans="1:17" ht="13" x14ac:dyDescent="0.15">
      <c r="A81" s="19">
        <v>45796</v>
      </c>
      <c r="B81" s="16">
        <v>23</v>
      </c>
      <c r="C81" s="16">
        <v>15</v>
      </c>
      <c r="E81" s="23" t="s">
        <v>101</v>
      </c>
      <c r="F81" s="16">
        <v>2250</v>
      </c>
      <c r="G81" s="18">
        <v>3000</v>
      </c>
      <c r="H81" s="3">
        <v>2</v>
      </c>
      <c r="I81" s="16" t="s">
        <v>49</v>
      </c>
      <c r="J81" s="16">
        <v>9.69</v>
      </c>
      <c r="K81" s="16">
        <v>5</v>
      </c>
      <c r="L81" s="16">
        <v>1</v>
      </c>
      <c r="M81" s="16">
        <v>5</v>
      </c>
      <c r="O81" s="3"/>
      <c r="P81" s="16">
        <f t="shared" si="2"/>
        <v>0.95456857075299406</v>
      </c>
      <c r="Q81" s="16">
        <f t="shared" si="3"/>
        <v>5.6746151353178549</v>
      </c>
    </row>
    <row r="82" spans="1:17" ht="13" x14ac:dyDescent="0.15">
      <c r="A82" s="19">
        <v>45796</v>
      </c>
      <c r="B82" s="16">
        <v>23</v>
      </c>
      <c r="C82" s="16">
        <v>15</v>
      </c>
      <c r="E82" s="23" t="s">
        <v>101</v>
      </c>
      <c r="F82" s="16">
        <v>2250</v>
      </c>
      <c r="G82" s="18">
        <v>3000</v>
      </c>
      <c r="H82" s="3">
        <v>3</v>
      </c>
      <c r="I82" s="16" t="s">
        <v>49</v>
      </c>
      <c r="J82" s="16">
        <v>9.52</v>
      </c>
      <c r="K82" s="16">
        <v>5</v>
      </c>
      <c r="L82" s="16">
        <v>1</v>
      </c>
      <c r="M82" s="16">
        <v>5</v>
      </c>
      <c r="O82" s="3"/>
      <c r="P82" s="16">
        <f t="shared" si="2"/>
        <v>0.92903347864585639</v>
      </c>
      <c r="Q82" s="16">
        <f t="shared" si="3"/>
        <v>5.428595263866665</v>
      </c>
    </row>
    <row r="83" spans="1:17" ht="13" x14ac:dyDescent="0.15">
      <c r="A83" s="19">
        <v>45796</v>
      </c>
      <c r="B83" s="16">
        <v>23</v>
      </c>
      <c r="C83" s="16">
        <v>15</v>
      </c>
      <c r="E83" s="23" t="s">
        <v>102</v>
      </c>
      <c r="F83" s="16">
        <v>1700</v>
      </c>
      <c r="G83" s="16">
        <v>1700</v>
      </c>
      <c r="H83" s="3">
        <v>1</v>
      </c>
      <c r="I83" s="16" t="s">
        <v>49</v>
      </c>
      <c r="J83" s="16">
        <v>10.4</v>
      </c>
      <c r="K83" s="16">
        <v>5</v>
      </c>
      <c r="L83" s="16">
        <v>1</v>
      </c>
      <c r="M83" s="16">
        <v>5</v>
      </c>
      <c r="O83" s="3"/>
      <c r="P83" s="16">
        <f t="shared" si="2"/>
        <v>1.0565835283663676</v>
      </c>
      <c r="Q83" s="16">
        <f t="shared" si="3"/>
        <v>6.3411613377795746</v>
      </c>
    </row>
    <row r="84" spans="1:17" ht="13" x14ac:dyDescent="0.15">
      <c r="A84" s="19">
        <v>45796</v>
      </c>
      <c r="B84" s="16">
        <v>23</v>
      </c>
      <c r="C84" s="16">
        <v>15</v>
      </c>
      <c r="E84" s="23" t="s">
        <v>102</v>
      </c>
      <c r="F84" s="16">
        <v>1700</v>
      </c>
      <c r="G84" s="16">
        <v>1700</v>
      </c>
      <c r="H84" s="3">
        <v>2</v>
      </c>
      <c r="I84" s="16" t="s">
        <v>49</v>
      </c>
      <c r="J84" s="16">
        <v>11.6</v>
      </c>
      <c r="K84" s="16">
        <v>5</v>
      </c>
      <c r="L84" s="16">
        <v>1</v>
      </c>
      <c r="M84" s="16">
        <v>5</v>
      </c>
      <c r="O84" s="3"/>
      <c r="P84" s="16">
        <f t="shared" si="2"/>
        <v>1.2141248053528473</v>
      </c>
      <c r="Q84" s="16">
        <f t="shared" si="3"/>
        <v>6.0076294367038683</v>
      </c>
    </row>
    <row r="85" spans="1:17" ht="13" x14ac:dyDescent="0.15">
      <c r="A85" s="19">
        <v>45796</v>
      </c>
      <c r="B85" s="16">
        <v>23</v>
      </c>
      <c r="C85" s="16">
        <v>15</v>
      </c>
      <c r="E85" s="23" t="s">
        <v>102</v>
      </c>
      <c r="F85" s="16">
        <v>1700</v>
      </c>
      <c r="G85" s="16">
        <v>1700</v>
      </c>
      <c r="H85" s="3">
        <v>3</v>
      </c>
      <c r="I85" s="16" t="s">
        <v>49</v>
      </c>
      <c r="J85" s="16">
        <v>10.9</v>
      </c>
      <c r="K85" s="16">
        <v>5</v>
      </c>
      <c r="L85" s="16">
        <v>1</v>
      </c>
      <c r="M85" s="16">
        <v>5</v>
      </c>
      <c r="O85" s="3"/>
      <c r="P85" s="16">
        <f t="shared" si="2"/>
        <v>1.1243281350022019</v>
      </c>
      <c r="Q85" s="16">
        <f t="shared" si="3"/>
        <v>6.0084291128848752</v>
      </c>
    </row>
    <row r="86" spans="1:17" ht="13" x14ac:dyDescent="0.15">
      <c r="A86" s="19">
        <v>45799</v>
      </c>
      <c r="B86" s="16">
        <v>26</v>
      </c>
      <c r="C86" s="16">
        <v>18</v>
      </c>
      <c r="E86" s="16" t="s">
        <v>32</v>
      </c>
      <c r="F86" s="22">
        <v>2.2499999999999999E-4</v>
      </c>
      <c r="G86" s="22">
        <v>2.2499999999999999E-4</v>
      </c>
      <c r="H86" s="3">
        <v>1</v>
      </c>
      <c r="I86" s="16" t="s">
        <v>49</v>
      </c>
      <c r="J86" s="16">
        <v>16.100000000000001</v>
      </c>
      <c r="K86" s="16">
        <v>5</v>
      </c>
      <c r="L86" s="16">
        <v>1</v>
      </c>
      <c r="M86" s="16">
        <v>5</v>
      </c>
      <c r="O86" s="3"/>
      <c r="P86" s="16">
        <f t="shared" si="2"/>
        <v>1.6870606883398924</v>
      </c>
      <c r="Q86" s="16">
        <f t="shared" si="3"/>
        <v>10.706406122344635</v>
      </c>
    </row>
    <row r="87" spans="1:17" ht="13" x14ac:dyDescent="0.15">
      <c r="A87" s="19">
        <v>45799</v>
      </c>
      <c r="B87" s="16">
        <v>26</v>
      </c>
      <c r="C87" s="16">
        <v>18</v>
      </c>
      <c r="E87" s="16" t="s">
        <v>32</v>
      </c>
      <c r="F87" s="22">
        <v>2.2499999999999999E-4</v>
      </c>
      <c r="G87" s="22">
        <v>2.2499999999999999E-4</v>
      </c>
      <c r="H87" s="3">
        <v>2</v>
      </c>
      <c r="I87" s="16" t="s">
        <v>49</v>
      </c>
      <c r="J87" s="16">
        <v>16.899999999999999</v>
      </c>
      <c r="K87" s="16">
        <v>5</v>
      </c>
      <c r="L87" s="16">
        <v>1</v>
      </c>
      <c r="M87" s="16">
        <v>5</v>
      </c>
      <c r="O87" s="3"/>
      <c r="P87" s="16">
        <f t="shared" si="2"/>
        <v>1.7570232465074596</v>
      </c>
      <c r="Q87" s="16">
        <f t="shared" si="3"/>
        <v>10.661243829797597</v>
      </c>
    </row>
    <row r="88" spans="1:17" ht="13" x14ac:dyDescent="0.15">
      <c r="A88" s="19">
        <v>45799</v>
      </c>
      <c r="B88" s="16">
        <v>26</v>
      </c>
      <c r="C88" s="16">
        <v>18</v>
      </c>
      <c r="E88" s="16" t="s">
        <v>32</v>
      </c>
      <c r="F88" s="22">
        <v>2.2499999999999999E-4</v>
      </c>
      <c r="G88" s="22">
        <v>2.2499999999999999E-4</v>
      </c>
      <c r="H88" s="3">
        <v>3</v>
      </c>
      <c r="I88" s="16" t="s">
        <v>49</v>
      </c>
      <c r="J88" s="16">
        <v>20.2</v>
      </c>
      <c r="K88" s="16">
        <v>5</v>
      </c>
      <c r="L88" s="16">
        <v>1</v>
      </c>
      <c r="M88" s="16">
        <v>5</v>
      </c>
      <c r="O88" s="3"/>
      <c r="P88" s="16">
        <f t="shared" si="2"/>
        <v>2.0143552929770703</v>
      </c>
      <c r="Q88" s="16">
        <f t="shared" si="3"/>
        <v>11.656161805713653</v>
      </c>
    </row>
    <row r="89" spans="1:17" ht="14" x14ac:dyDescent="0.15">
      <c r="A89" s="19">
        <v>45799</v>
      </c>
      <c r="B89" s="16">
        <v>26</v>
      </c>
      <c r="C89" s="16">
        <v>18</v>
      </c>
      <c r="E89" s="23" t="s">
        <v>100</v>
      </c>
      <c r="F89" s="16">
        <v>130</v>
      </c>
      <c r="G89" s="18">
        <v>130</v>
      </c>
      <c r="H89" s="3">
        <v>1</v>
      </c>
      <c r="I89" s="16" t="s">
        <v>49</v>
      </c>
      <c r="J89" s="16">
        <v>8.6300000000000008</v>
      </c>
      <c r="K89" s="16">
        <v>5</v>
      </c>
      <c r="L89" s="3" t="s">
        <v>17</v>
      </c>
      <c r="M89" s="3" t="s">
        <v>17</v>
      </c>
      <c r="N89" s="18" t="s">
        <v>109</v>
      </c>
      <c r="O89" s="3"/>
      <c r="P89" s="16">
        <f t="shared" si="2"/>
        <v>1.179569561685633</v>
      </c>
      <c r="Q89" s="16">
        <f t="shared" si="3"/>
        <v>7.5476193395542603</v>
      </c>
    </row>
    <row r="90" spans="1:17" ht="14" x14ac:dyDescent="0.15">
      <c r="A90" s="19">
        <v>45799</v>
      </c>
      <c r="B90" s="16">
        <v>26</v>
      </c>
      <c r="C90" s="16">
        <v>18</v>
      </c>
      <c r="E90" s="23" t="s">
        <v>100</v>
      </c>
      <c r="F90" s="16">
        <v>130</v>
      </c>
      <c r="G90" s="18">
        <v>130</v>
      </c>
      <c r="H90" s="3">
        <v>2</v>
      </c>
      <c r="I90" s="16" t="s">
        <v>49</v>
      </c>
      <c r="J90" s="16">
        <v>5.39</v>
      </c>
      <c r="K90" s="16">
        <v>5.39</v>
      </c>
      <c r="L90" s="3" t="s">
        <v>17</v>
      </c>
      <c r="M90" s="3" t="s">
        <v>17</v>
      </c>
      <c r="O90" s="3"/>
      <c r="P90" s="16">
        <f t="shared" si="2"/>
        <v>0.76125850746814994</v>
      </c>
      <c r="Q90" s="16">
        <f t="shared" si="3"/>
        <v>6.6852245540694755</v>
      </c>
    </row>
    <row r="91" spans="1:17" ht="14" x14ac:dyDescent="0.15">
      <c r="A91" s="19">
        <v>45799</v>
      </c>
      <c r="B91" s="16">
        <v>26</v>
      </c>
      <c r="C91" s="16">
        <v>18</v>
      </c>
      <c r="E91" s="23" t="s">
        <v>100</v>
      </c>
      <c r="F91" s="16">
        <v>130</v>
      </c>
      <c r="G91" s="18">
        <v>130</v>
      </c>
      <c r="H91" s="3">
        <v>3</v>
      </c>
      <c r="I91" s="16" t="s">
        <v>49</v>
      </c>
      <c r="J91" s="16">
        <v>5.36</v>
      </c>
      <c r="K91" s="16">
        <v>5.36</v>
      </c>
      <c r="L91" s="3" t="s">
        <v>17</v>
      </c>
      <c r="M91" s="3" t="s">
        <v>17</v>
      </c>
      <c r="O91" s="3"/>
      <c r="P91" s="16">
        <f t="shared" si="2"/>
        <v>0.66520975417558825</v>
      </c>
      <c r="Q91" s="16">
        <f t="shared" si="3"/>
        <v>6.5809780201586836</v>
      </c>
    </row>
    <row r="92" spans="1:17" ht="13" x14ac:dyDescent="0.15">
      <c r="A92" s="19">
        <v>45799</v>
      </c>
      <c r="B92" s="16">
        <v>26</v>
      </c>
      <c r="C92" s="16">
        <v>18</v>
      </c>
      <c r="E92" s="23" t="s">
        <v>101</v>
      </c>
      <c r="F92" s="16">
        <v>2250</v>
      </c>
      <c r="G92" s="18">
        <v>3000</v>
      </c>
      <c r="H92" s="3">
        <v>1</v>
      </c>
      <c r="I92" s="16" t="s">
        <v>49</v>
      </c>
      <c r="J92" s="16">
        <v>9.35</v>
      </c>
      <c r="K92" s="16">
        <v>5</v>
      </c>
      <c r="L92" s="16">
        <v>1</v>
      </c>
      <c r="M92" s="16">
        <v>5</v>
      </c>
      <c r="O92" s="3"/>
      <c r="P92" s="16">
        <f t="shared" si="2"/>
        <v>0.90303827011291182</v>
      </c>
      <c r="Q92" s="16">
        <f t="shared" si="3"/>
        <v>6.5097031287092424</v>
      </c>
    </row>
    <row r="93" spans="1:17" ht="13" x14ac:dyDescent="0.15">
      <c r="A93" s="19">
        <v>45799</v>
      </c>
      <c r="B93" s="16">
        <v>26</v>
      </c>
      <c r="C93" s="16">
        <v>18</v>
      </c>
      <c r="E93" s="23" t="s">
        <v>101</v>
      </c>
      <c r="F93" s="16">
        <v>2250</v>
      </c>
      <c r="G93" s="18">
        <v>3000</v>
      </c>
      <c r="H93" s="3">
        <v>2</v>
      </c>
      <c r="I93" s="16" t="s">
        <v>49</v>
      </c>
      <c r="J93" s="16">
        <v>8</v>
      </c>
      <c r="K93" s="16">
        <v>5</v>
      </c>
      <c r="L93" s="16">
        <v>1</v>
      </c>
      <c r="M93" s="16">
        <v>5</v>
      </c>
      <c r="O93" s="3"/>
      <c r="P93" s="16">
        <f t="shared" si="2"/>
        <v>0.67807190511263782</v>
      </c>
      <c r="Q93" s="16">
        <f t="shared" si="3"/>
        <v>6.3526870404304923</v>
      </c>
    </row>
    <row r="94" spans="1:17" ht="13" x14ac:dyDescent="0.15">
      <c r="A94" s="19">
        <v>45799</v>
      </c>
      <c r="B94" s="16">
        <v>26</v>
      </c>
      <c r="C94" s="16">
        <v>18</v>
      </c>
      <c r="E94" s="23" t="s">
        <v>101</v>
      </c>
      <c r="F94" s="16">
        <v>2250</v>
      </c>
      <c r="G94" s="18">
        <v>3000</v>
      </c>
      <c r="H94" s="3">
        <v>3</v>
      </c>
      <c r="I94" s="16" t="s">
        <v>49</v>
      </c>
      <c r="J94" s="16">
        <v>8.17</v>
      </c>
      <c r="K94" s="16">
        <v>5</v>
      </c>
      <c r="L94" s="16">
        <v>1</v>
      </c>
      <c r="M94" s="16">
        <v>5</v>
      </c>
      <c r="O94" s="3"/>
      <c r="P94" s="16">
        <f t="shared" si="2"/>
        <v>0.70840798348359635</v>
      </c>
      <c r="Q94" s="16">
        <f t="shared" si="3"/>
        <v>6.1370032473502611</v>
      </c>
    </row>
    <row r="95" spans="1:17" ht="13" x14ac:dyDescent="0.15">
      <c r="A95" s="19">
        <v>45799</v>
      </c>
      <c r="B95" s="16">
        <v>26</v>
      </c>
      <c r="C95" s="16">
        <v>18</v>
      </c>
      <c r="E95" s="23" t="s">
        <v>102</v>
      </c>
      <c r="F95" s="16">
        <v>1700</v>
      </c>
      <c r="G95" s="16">
        <v>1700</v>
      </c>
      <c r="H95" s="3">
        <v>1</v>
      </c>
      <c r="I95" s="16" t="s">
        <v>49</v>
      </c>
      <c r="J95" s="16">
        <v>11.8</v>
      </c>
      <c r="K95" s="16">
        <v>5</v>
      </c>
      <c r="L95" s="16">
        <v>1</v>
      </c>
      <c r="M95" s="16">
        <v>5</v>
      </c>
      <c r="O95" s="3"/>
      <c r="P95" s="16">
        <f t="shared" si="2"/>
        <v>1.2387868595871168</v>
      </c>
      <c r="Q95" s="16">
        <f t="shared" si="3"/>
        <v>7.5799481973666918</v>
      </c>
    </row>
    <row r="96" spans="1:17" ht="13" x14ac:dyDescent="0.15">
      <c r="A96" s="19">
        <v>45799</v>
      </c>
      <c r="B96" s="16">
        <v>26</v>
      </c>
      <c r="C96" s="16">
        <v>18</v>
      </c>
      <c r="E96" s="23" t="s">
        <v>102</v>
      </c>
      <c r="F96" s="16">
        <v>1700</v>
      </c>
      <c r="G96" s="16">
        <v>1700</v>
      </c>
      <c r="H96" s="3">
        <v>2</v>
      </c>
      <c r="I96" s="16" t="s">
        <v>49</v>
      </c>
      <c r="J96" s="16">
        <v>11</v>
      </c>
      <c r="K96" s="16">
        <v>5</v>
      </c>
      <c r="L96" s="16">
        <v>1</v>
      </c>
      <c r="M96" s="16">
        <v>5</v>
      </c>
      <c r="O96" s="3"/>
      <c r="P96" s="16">
        <f t="shared" si="2"/>
        <v>1.1375035237499351</v>
      </c>
      <c r="Q96" s="16">
        <f t="shared" si="3"/>
        <v>7.1451329604538039</v>
      </c>
    </row>
    <row r="97" spans="1:17" ht="13" x14ac:dyDescent="0.15">
      <c r="A97" s="19">
        <v>45799</v>
      </c>
      <c r="B97" s="16">
        <v>26</v>
      </c>
      <c r="C97" s="16">
        <v>18</v>
      </c>
      <c r="E97" s="23" t="s">
        <v>102</v>
      </c>
      <c r="F97" s="16">
        <v>1700</v>
      </c>
      <c r="G97" s="16">
        <v>1700</v>
      </c>
      <c r="H97" s="3">
        <v>3</v>
      </c>
      <c r="I97" s="16" t="s">
        <v>49</v>
      </c>
      <c r="J97" s="16">
        <v>12.6</v>
      </c>
      <c r="K97" s="16">
        <v>5</v>
      </c>
      <c r="L97" s="16">
        <v>1</v>
      </c>
      <c r="M97" s="16">
        <v>5</v>
      </c>
      <c r="O97" s="3"/>
      <c r="P97" s="16">
        <f t="shared" si="2"/>
        <v>1.3334237337251917</v>
      </c>
      <c r="Q97" s="16">
        <f t="shared" si="3"/>
        <v>7.3418528466100668</v>
      </c>
    </row>
    <row r="98" spans="1:17" ht="14" x14ac:dyDescent="0.15">
      <c r="A98" s="19">
        <v>45802</v>
      </c>
      <c r="B98" s="16">
        <v>29</v>
      </c>
      <c r="C98" s="16">
        <v>21</v>
      </c>
      <c r="E98" s="16" t="s">
        <v>32</v>
      </c>
      <c r="F98" s="22">
        <v>2.2499999999999999E-4</v>
      </c>
      <c r="G98" s="22"/>
      <c r="H98" s="3">
        <v>1</v>
      </c>
      <c r="I98" s="16" t="s">
        <v>49</v>
      </c>
      <c r="J98" s="16">
        <v>18.399999999999999</v>
      </c>
      <c r="K98" s="3" t="s">
        <v>17</v>
      </c>
      <c r="L98" s="16">
        <v>3</v>
      </c>
      <c r="M98" s="16">
        <v>5</v>
      </c>
      <c r="O98" s="3"/>
      <c r="P98" s="16">
        <f t="shared" si="2"/>
        <v>1.879705766282288</v>
      </c>
      <c r="Q98" s="16">
        <f t="shared" si="3"/>
        <v>12.586111888626924</v>
      </c>
    </row>
    <row r="99" spans="1:17" ht="14" x14ac:dyDescent="0.15">
      <c r="A99" s="19">
        <v>45802</v>
      </c>
      <c r="B99" s="16">
        <v>29</v>
      </c>
      <c r="C99" s="16">
        <v>21</v>
      </c>
      <c r="E99" s="16" t="s">
        <v>32</v>
      </c>
      <c r="F99" s="22">
        <v>2.2499999999999999E-4</v>
      </c>
      <c r="G99" s="22"/>
      <c r="H99" s="3">
        <v>2</v>
      </c>
      <c r="I99" s="16" t="s">
        <v>49</v>
      </c>
      <c r="J99" s="16">
        <v>16.899999999999999</v>
      </c>
      <c r="K99" s="3" t="s">
        <v>17</v>
      </c>
      <c r="L99" s="16">
        <v>3</v>
      </c>
      <c r="M99" s="16">
        <v>5</v>
      </c>
      <c r="O99" s="3"/>
      <c r="P99" s="16">
        <f t="shared" si="2"/>
        <v>1.7570232465074596</v>
      </c>
      <c r="Q99" s="16">
        <f t="shared" si="3"/>
        <v>12.418267076305057</v>
      </c>
    </row>
    <row r="100" spans="1:17" ht="14" x14ac:dyDescent="0.15">
      <c r="A100" s="19">
        <v>45802</v>
      </c>
      <c r="B100" s="16">
        <v>29</v>
      </c>
      <c r="C100" s="16">
        <v>21</v>
      </c>
      <c r="E100" s="16" t="s">
        <v>32</v>
      </c>
      <c r="F100" s="22">
        <v>2.2499999999999999E-4</v>
      </c>
      <c r="G100" s="22"/>
      <c r="H100" s="3">
        <v>3</v>
      </c>
      <c r="I100" s="16" t="s">
        <v>49</v>
      </c>
      <c r="J100" s="16">
        <v>17.899999999999999</v>
      </c>
      <c r="K100" s="3" t="s">
        <v>17</v>
      </c>
      <c r="L100" s="16">
        <v>3</v>
      </c>
      <c r="M100" s="16">
        <v>5</v>
      </c>
      <c r="O100" s="3"/>
      <c r="P100" s="16">
        <f t="shared" si="2"/>
        <v>1.8399595874895316</v>
      </c>
      <c r="Q100" s="16">
        <f t="shared" si="3"/>
        <v>13.496121393203184</v>
      </c>
    </row>
    <row r="101" spans="1:17" ht="14" x14ac:dyDescent="0.15">
      <c r="A101" s="19">
        <v>45802</v>
      </c>
      <c r="B101" s="16">
        <v>29</v>
      </c>
      <c r="C101" s="16">
        <v>21</v>
      </c>
      <c r="E101" s="23" t="s">
        <v>100</v>
      </c>
      <c r="F101" s="16">
        <v>130</v>
      </c>
      <c r="G101" s="18"/>
      <c r="H101" s="3">
        <v>1</v>
      </c>
      <c r="I101" s="16" t="s">
        <v>49</v>
      </c>
      <c r="J101" s="16">
        <v>16.5</v>
      </c>
      <c r="K101" s="3" t="s">
        <v>17</v>
      </c>
      <c r="L101" s="16">
        <v>3</v>
      </c>
      <c r="M101" s="16">
        <v>5</v>
      </c>
      <c r="O101" s="3"/>
      <c r="P101" s="16">
        <f t="shared" si="2"/>
        <v>1.7224660244710912</v>
      </c>
      <c r="Q101" s="16">
        <f t="shared" si="3"/>
        <v>9.270085364025352</v>
      </c>
    </row>
    <row r="102" spans="1:17" ht="14" x14ac:dyDescent="0.15">
      <c r="A102" s="19">
        <v>45802</v>
      </c>
      <c r="B102" s="16">
        <v>29</v>
      </c>
      <c r="C102" s="16">
        <v>21</v>
      </c>
      <c r="E102" s="23" t="s">
        <v>100</v>
      </c>
      <c r="F102" s="16">
        <v>130</v>
      </c>
      <c r="G102" s="18"/>
      <c r="H102" s="3">
        <v>2</v>
      </c>
      <c r="I102" s="16" t="s">
        <v>49</v>
      </c>
      <c r="J102" s="16">
        <v>20.100000000000001</v>
      </c>
      <c r="K102" s="3" t="s">
        <v>17</v>
      </c>
      <c r="L102" s="16">
        <v>3</v>
      </c>
      <c r="M102" s="16">
        <v>5</v>
      </c>
      <c r="O102" s="3"/>
      <c r="P102" s="16">
        <f t="shared" si="2"/>
        <v>1.8988383233137855</v>
      </c>
      <c r="Q102" s="16">
        <f t="shared" si="3"/>
        <v>8.5840628773832606</v>
      </c>
    </row>
    <row r="103" spans="1:17" ht="14" x14ac:dyDescent="0.15">
      <c r="A103" s="19">
        <v>45802</v>
      </c>
      <c r="B103" s="16">
        <v>29</v>
      </c>
      <c r="C103" s="16">
        <v>21</v>
      </c>
      <c r="E103" s="23" t="s">
        <v>100</v>
      </c>
      <c r="F103" s="16">
        <v>130</v>
      </c>
      <c r="G103" s="18"/>
      <c r="H103" s="3">
        <v>3</v>
      </c>
      <c r="I103" s="16" t="s">
        <v>49</v>
      </c>
      <c r="J103" s="16">
        <v>21.6</v>
      </c>
      <c r="K103" s="3" t="s">
        <v>17</v>
      </c>
      <c r="L103" s="16">
        <v>3</v>
      </c>
      <c r="M103" s="16">
        <v>5</v>
      </c>
      <c r="O103" s="3"/>
      <c r="P103" s="16">
        <f t="shared" si="2"/>
        <v>2.0107264065930583</v>
      </c>
      <c r="Q103" s="16">
        <f t="shared" si="3"/>
        <v>8.5917044267517415</v>
      </c>
    </row>
    <row r="104" spans="1:17" ht="14" x14ac:dyDescent="0.15">
      <c r="A104" s="19">
        <v>45802</v>
      </c>
      <c r="B104" s="16">
        <v>29</v>
      </c>
      <c r="C104" s="16">
        <v>21</v>
      </c>
      <c r="E104" s="23" t="s">
        <v>101</v>
      </c>
      <c r="F104" s="16">
        <v>2250</v>
      </c>
      <c r="G104" s="18"/>
      <c r="H104" s="3">
        <v>1</v>
      </c>
      <c r="I104" s="16" t="s">
        <v>49</v>
      </c>
      <c r="J104" s="16">
        <v>6.49</v>
      </c>
      <c r="K104" s="3" t="s">
        <v>17</v>
      </c>
      <c r="L104" s="16">
        <v>1</v>
      </c>
      <c r="M104" s="16">
        <v>5</v>
      </c>
      <c r="N104" s="16" t="s">
        <v>110</v>
      </c>
      <c r="O104" s="3"/>
      <c r="P104" s="16">
        <f t="shared" si="2"/>
        <v>0.37629038333705156</v>
      </c>
      <c r="Q104" s="16">
        <f t="shared" si="3"/>
        <v>6.8859935120462943</v>
      </c>
    </row>
    <row r="105" spans="1:17" ht="14" x14ac:dyDescent="0.15">
      <c r="A105" s="19">
        <v>45802</v>
      </c>
      <c r="B105" s="16">
        <v>29</v>
      </c>
      <c r="C105" s="16">
        <v>21</v>
      </c>
      <c r="E105" s="23" t="s">
        <v>101</v>
      </c>
      <c r="F105" s="16">
        <v>2250</v>
      </c>
      <c r="G105" s="18"/>
      <c r="H105" s="3">
        <v>2</v>
      </c>
      <c r="I105" s="16" t="s">
        <v>49</v>
      </c>
      <c r="J105" s="16">
        <v>7.78</v>
      </c>
      <c r="K105" s="3" t="s">
        <v>17</v>
      </c>
      <c r="L105" s="16">
        <v>1</v>
      </c>
      <c r="M105" s="16">
        <v>5</v>
      </c>
      <c r="N105" s="16" t="s">
        <v>110</v>
      </c>
      <c r="O105" s="3"/>
      <c r="P105" s="16">
        <f t="shared" si="2"/>
        <v>0.63784206032410495</v>
      </c>
      <c r="Q105" s="16">
        <f t="shared" si="3"/>
        <v>6.9905291007545971</v>
      </c>
    </row>
    <row r="106" spans="1:17" ht="14" x14ac:dyDescent="0.15">
      <c r="A106" s="19">
        <v>45802</v>
      </c>
      <c r="B106" s="16">
        <v>29</v>
      </c>
      <c r="C106" s="16">
        <v>21</v>
      </c>
      <c r="E106" s="23" t="s">
        <v>101</v>
      </c>
      <c r="F106" s="16">
        <v>2250</v>
      </c>
      <c r="G106" s="18"/>
      <c r="H106" s="3">
        <v>3</v>
      </c>
      <c r="I106" s="16" t="s">
        <v>49</v>
      </c>
      <c r="J106" s="16">
        <v>8.43</v>
      </c>
      <c r="K106" s="3" t="s">
        <v>17</v>
      </c>
      <c r="L106" s="16">
        <v>1</v>
      </c>
      <c r="M106" s="16">
        <v>5</v>
      </c>
      <c r="N106" s="16" t="s">
        <v>110</v>
      </c>
      <c r="O106" s="3"/>
      <c r="P106" s="16">
        <f t="shared" si="2"/>
        <v>0.75360453627999513</v>
      </c>
      <c r="Q106" s="16">
        <f t="shared" si="3"/>
        <v>6.8906077836302559</v>
      </c>
    </row>
    <row r="107" spans="1:17" ht="14" x14ac:dyDescent="0.15">
      <c r="A107" s="19">
        <v>45802</v>
      </c>
      <c r="B107" s="16">
        <v>29</v>
      </c>
      <c r="C107" s="16">
        <v>21</v>
      </c>
      <c r="E107" s="23" t="s">
        <v>102</v>
      </c>
      <c r="F107" s="16">
        <v>1700</v>
      </c>
      <c r="H107" s="3">
        <v>1</v>
      </c>
      <c r="I107" s="16" t="s">
        <v>49</v>
      </c>
      <c r="J107" s="16">
        <v>13.1</v>
      </c>
      <c r="K107" s="3" t="s">
        <v>17</v>
      </c>
      <c r="L107" s="20">
        <v>2</v>
      </c>
      <c r="M107" s="16">
        <v>5</v>
      </c>
      <c r="N107" s="16" t="s">
        <v>110</v>
      </c>
      <c r="O107" s="3"/>
      <c r="P107" s="16">
        <f t="shared" si="2"/>
        <v>1.3895668117627258</v>
      </c>
      <c r="Q107" s="16">
        <f t="shared" si="3"/>
        <v>8.9695150091294167</v>
      </c>
    </row>
    <row r="108" spans="1:17" ht="14" x14ac:dyDescent="0.15">
      <c r="A108" s="19">
        <v>45802</v>
      </c>
      <c r="B108" s="16">
        <v>29</v>
      </c>
      <c r="C108" s="16">
        <v>21</v>
      </c>
      <c r="E108" s="23" t="s">
        <v>102</v>
      </c>
      <c r="F108" s="16">
        <v>1700</v>
      </c>
      <c r="H108" s="3">
        <v>2</v>
      </c>
      <c r="I108" s="16" t="s">
        <v>49</v>
      </c>
      <c r="J108" s="16">
        <v>12.4</v>
      </c>
      <c r="K108" s="3" t="s">
        <v>17</v>
      </c>
      <c r="L108" s="20">
        <v>2</v>
      </c>
      <c r="M108" s="16">
        <v>5</v>
      </c>
      <c r="N108" s="16" t="s">
        <v>110</v>
      </c>
      <c r="O108" s="3"/>
      <c r="P108" s="16">
        <f t="shared" si="2"/>
        <v>1.3103401206121505</v>
      </c>
      <c r="Q108" s="16">
        <f t="shared" si="3"/>
        <v>8.4554730810659535</v>
      </c>
    </row>
    <row r="109" spans="1:17" ht="14" x14ac:dyDescent="0.15">
      <c r="A109" s="19">
        <v>45802</v>
      </c>
      <c r="B109" s="16">
        <v>29</v>
      </c>
      <c r="C109" s="16">
        <v>21</v>
      </c>
      <c r="E109" s="23" t="s">
        <v>102</v>
      </c>
      <c r="F109" s="16">
        <v>1700</v>
      </c>
      <c r="H109" s="3">
        <v>3</v>
      </c>
      <c r="I109" s="16" t="s">
        <v>49</v>
      </c>
      <c r="J109" s="16">
        <v>12.8</v>
      </c>
      <c r="K109" s="3" t="s">
        <v>17</v>
      </c>
      <c r="L109" s="20">
        <v>2</v>
      </c>
      <c r="M109" s="16">
        <v>5</v>
      </c>
      <c r="N109" s="16" t="s">
        <v>110</v>
      </c>
      <c r="O109" s="3"/>
      <c r="P109" s="16">
        <f t="shared" si="2"/>
        <v>1.3561438102252754</v>
      </c>
      <c r="Q109" s="16">
        <f t="shared" si="3"/>
        <v>8.6979966568353415</v>
      </c>
    </row>
    <row r="110" spans="1:17" ht="13" x14ac:dyDescent="0.15">
      <c r="O110" s="3"/>
    </row>
    <row r="111" spans="1:17" ht="13" x14ac:dyDescent="0.15">
      <c r="O111" s="3"/>
    </row>
    <row r="112" spans="1:17" ht="13" x14ac:dyDescent="0.15">
      <c r="O112" s="3"/>
    </row>
    <row r="113" spans="15:15" ht="13" x14ac:dyDescent="0.15">
      <c r="O113" s="3"/>
    </row>
    <row r="114" spans="15:15" ht="13" x14ac:dyDescent="0.15">
      <c r="O114" s="3"/>
    </row>
    <row r="115" spans="15:15" ht="13" x14ac:dyDescent="0.15">
      <c r="O115" s="3"/>
    </row>
    <row r="116" spans="15:15" ht="13" x14ac:dyDescent="0.15">
      <c r="O116" s="3"/>
    </row>
    <row r="117" spans="15:15" ht="13" x14ac:dyDescent="0.15">
      <c r="O117" s="3"/>
    </row>
    <row r="118" spans="15:15" ht="13" x14ac:dyDescent="0.15">
      <c r="O118" s="3"/>
    </row>
    <row r="119" spans="15:15" ht="13" x14ac:dyDescent="0.15">
      <c r="O119" s="3"/>
    </row>
    <row r="120" spans="15:15" ht="13" x14ac:dyDescent="0.15">
      <c r="O120" s="3"/>
    </row>
    <row r="121" spans="15:15" ht="13" x14ac:dyDescent="0.15">
      <c r="O121" s="3"/>
    </row>
    <row r="122" spans="15:15" ht="13" x14ac:dyDescent="0.15">
      <c r="O122" s="3"/>
    </row>
    <row r="123" spans="15:15" ht="13" x14ac:dyDescent="0.15">
      <c r="O123" s="3"/>
    </row>
    <row r="124" spans="15:15" ht="13" x14ac:dyDescent="0.15">
      <c r="O124" s="3"/>
    </row>
    <row r="125" spans="15:15" ht="13" x14ac:dyDescent="0.15">
      <c r="O125" s="3"/>
    </row>
    <row r="126" spans="15:15" ht="13" x14ac:dyDescent="0.15">
      <c r="O126" s="3"/>
    </row>
    <row r="127" spans="15:15" ht="13" x14ac:dyDescent="0.15">
      <c r="O127" s="3"/>
    </row>
    <row r="128" spans="15:15" ht="13" x14ac:dyDescent="0.15">
      <c r="O128" s="3"/>
    </row>
    <row r="129" spans="15:15" ht="13" x14ac:dyDescent="0.15">
      <c r="O129" s="3"/>
    </row>
    <row r="130" spans="15:15" ht="13" x14ac:dyDescent="0.15">
      <c r="O130" s="3"/>
    </row>
    <row r="131" spans="15:15" ht="13" x14ac:dyDescent="0.15">
      <c r="O131" s="3"/>
    </row>
    <row r="132" spans="15:15" ht="13" x14ac:dyDescent="0.15">
      <c r="O132" s="3"/>
    </row>
    <row r="133" spans="15:15" ht="13" x14ac:dyDescent="0.15">
      <c r="O133" s="3"/>
    </row>
    <row r="134" spans="15:15" ht="13" x14ac:dyDescent="0.15">
      <c r="O134" s="3"/>
    </row>
    <row r="135" spans="15:15" ht="13" x14ac:dyDescent="0.15">
      <c r="O135" s="3"/>
    </row>
    <row r="136" spans="15:15" ht="13" x14ac:dyDescent="0.15">
      <c r="O136" s="3"/>
    </row>
    <row r="137" spans="15:15" ht="13" x14ac:dyDescent="0.15">
      <c r="O137" s="3"/>
    </row>
    <row r="138" spans="15:15" ht="13" x14ac:dyDescent="0.15">
      <c r="O138" s="3"/>
    </row>
    <row r="139" spans="15:15" ht="13" x14ac:dyDescent="0.15">
      <c r="O139" s="3"/>
    </row>
    <row r="140" spans="15:15" ht="13" x14ac:dyDescent="0.15">
      <c r="O140" s="3"/>
    </row>
    <row r="141" spans="15:15" ht="13" x14ac:dyDescent="0.15">
      <c r="O141" s="3"/>
    </row>
    <row r="142" spans="15:15" ht="13" x14ac:dyDescent="0.15">
      <c r="O142" s="3"/>
    </row>
    <row r="143" spans="15:15" ht="13" x14ac:dyDescent="0.15">
      <c r="O143" s="3"/>
    </row>
    <row r="144" spans="15:15" ht="13" x14ac:dyDescent="0.15">
      <c r="O144" s="3"/>
    </row>
    <row r="145" spans="15:15" ht="13" x14ac:dyDescent="0.15">
      <c r="O145" s="3"/>
    </row>
    <row r="146" spans="15:15" ht="13" x14ac:dyDescent="0.15">
      <c r="O146" s="3"/>
    </row>
    <row r="147" spans="15:15" ht="13" x14ac:dyDescent="0.15">
      <c r="O147" s="3"/>
    </row>
    <row r="148" spans="15:15" ht="13" x14ac:dyDescent="0.15">
      <c r="O148" s="3"/>
    </row>
    <row r="149" spans="15:15" ht="13" x14ac:dyDescent="0.15">
      <c r="O149" s="3"/>
    </row>
    <row r="150" spans="15:15" ht="13" x14ac:dyDescent="0.15">
      <c r="O150" s="3"/>
    </row>
    <row r="151" spans="15:15" ht="13" x14ac:dyDescent="0.15">
      <c r="O151" s="3"/>
    </row>
    <row r="152" spans="15:15" ht="13" x14ac:dyDescent="0.15">
      <c r="O152" s="3"/>
    </row>
    <row r="153" spans="15:15" ht="13" x14ac:dyDescent="0.15">
      <c r="O153" s="3"/>
    </row>
    <row r="154" spans="15:15" ht="13" x14ac:dyDescent="0.15">
      <c r="O154" s="3"/>
    </row>
    <row r="155" spans="15:15" ht="13" x14ac:dyDescent="0.15">
      <c r="O155" s="3"/>
    </row>
    <row r="156" spans="15:15" ht="13" x14ac:dyDescent="0.15">
      <c r="O156" s="3"/>
    </row>
    <row r="157" spans="15:15" ht="13" x14ac:dyDescent="0.15">
      <c r="O157" s="3"/>
    </row>
    <row r="158" spans="15:15" ht="13" x14ac:dyDescent="0.15">
      <c r="O158" s="3"/>
    </row>
    <row r="159" spans="15:15" ht="13" x14ac:dyDescent="0.15">
      <c r="O159" s="3"/>
    </row>
    <row r="160" spans="15:15" ht="13" x14ac:dyDescent="0.15">
      <c r="O160" s="3"/>
    </row>
    <row r="161" spans="15:15" ht="13" x14ac:dyDescent="0.15">
      <c r="O161" s="3"/>
    </row>
    <row r="162" spans="15:15" ht="13" x14ac:dyDescent="0.15">
      <c r="O162" s="3"/>
    </row>
    <row r="163" spans="15:15" ht="13" x14ac:dyDescent="0.15">
      <c r="O163" s="3"/>
    </row>
    <row r="164" spans="15:15" ht="13" x14ac:dyDescent="0.15">
      <c r="O164" s="3"/>
    </row>
    <row r="165" spans="15:15" ht="13" x14ac:dyDescent="0.15">
      <c r="O165" s="3"/>
    </row>
    <row r="166" spans="15:15" ht="13" x14ac:dyDescent="0.15">
      <c r="O166" s="3"/>
    </row>
    <row r="167" spans="15:15" ht="13" x14ac:dyDescent="0.15">
      <c r="O167" s="3"/>
    </row>
    <row r="168" spans="15:15" ht="13" x14ac:dyDescent="0.15">
      <c r="O168" s="3"/>
    </row>
    <row r="169" spans="15:15" ht="13" x14ac:dyDescent="0.15">
      <c r="O169" s="3"/>
    </row>
    <row r="170" spans="15:15" ht="13" x14ac:dyDescent="0.15">
      <c r="O170" s="3"/>
    </row>
    <row r="171" spans="15:15" ht="13" x14ac:dyDescent="0.15">
      <c r="O171" s="3"/>
    </row>
    <row r="172" spans="15:15" ht="13" x14ac:dyDescent="0.15">
      <c r="O172" s="3"/>
    </row>
    <row r="173" spans="15:15" ht="13" x14ac:dyDescent="0.15">
      <c r="O173" s="3"/>
    </row>
    <row r="174" spans="15:15" ht="13" x14ac:dyDescent="0.15">
      <c r="O174" s="3"/>
    </row>
    <row r="175" spans="15:15" ht="13" x14ac:dyDescent="0.15">
      <c r="O175" s="3"/>
    </row>
    <row r="176" spans="15:15" ht="13" x14ac:dyDescent="0.15">
      <c r="O176" s="3"/>
    </row>
    <row r="177" spans="15:15" ht="13" x14ac:dyDescent="0.15">
      <c r="O177" s="3"/>
    </row>
    <row r="178" spans="15:15" ht="13" x14ac:dyDescent="0.15">
      <c r="O178" s="3"/>
    </row>
    <row r="179" spans="15:15" ht="13" x14ac:dyDescent="0.15">
      <c r="O179" s="3"/>
    </row>
    <row r="180" spans="15:15" ht="13" x14ac:dyDescent="0.15">
      <c r="O180" s="3"/>
    </row>
    <row r="181" spans="15:15" ht="13" x14ac:dyDescent="0.15">
      <c r="O181" s="3"/>
    </row>
    <row r="182" spans="15:15" ht="13" x14ac:dyDescent="0.15">
      <c r="O182" s="3"/>
    </row>
    <row r="183" spans="15:15" ht="13" x14ac:dyDescent="0.15">
      <c r="O183" s="3"/>
    </row>
    <row r="184" spans="15:15" ht="13" x14ac:dyDescent="0.15">
      <c r="O184" s="3"/>
    </row>
    <row r="185" spans="15:15" ht="13" x14ac:dyDescent="0.15">
      <c r="O185" s="3"/>
    </row>
    <row r="186" spans="15:15" ht="13" x14ac:dyDescent="0.15">
      <c r="O186" s="3"/>
    </row>
    <row r="187" spans="15:15" ht="13" x14ac:dyDescent="0.15">
      <c r="O187" s="3"/>
    </row>
    <row r="188" spans="15:15" ht="13" x14ac:dyDescent="0.15">
      <c r="O188" s="3"/>
    </row>
    <row r="189" spans="15:15" ht="13" x14ac:dyDescent="0.15">
      <c r="O189" s="3"/>
    </row>
    <row r="190" spans="15:15" ht="13" x14ac:dyDescent="0.15">
      <c r="O190" s="3"/>
    </row>
    <row r="191" spans="15:15" ht="13" x14ac:dyDescent="0.15">
      <c r="O191" s="3"/>
    </row>
    <row r="192" spans="15:15" ht="13" x14ac:dyDescent="0.15">
      <c r="O192" s="3"/>
    </row>
    <row r="193" spans="15:15" ht="13" x14ac:dyDescent="0.15">
      <c r="O193" s="3"/>
    </row>
    <row r="194" spans="15:15" ht="13" x14ac:dyDescent="0.15">
      <c r="O194" s="3"/>
    </row>
    <row r="195" spans="15:15" ht="13" x14ac:dyDescent="0.15">
      <c r="O195" s="3"/>
    </row>
    <row r="196" spans="15:15" ht="13" x14ac:dyDescent="0.15">
      <c r="O196" s="3"/>
    </row>
    <row r="197" spans="15:15" ht="13" x14ac:dyDescent="0.15">
      <c r="O197" s="3"/>
    </row>
    <row r="198" spans="15:15" ht="13" x14ac:dyDescent="0.15">
      <c r="O198" s="3"/>
    </row>
    <row r="199" spans="15:15" ht="13" x14ac:dyDescent="0.15">
      <c r="O199" s="3"/>
    </row>
    <row r="200" spans="15:15" ht="13" x14ac:dyDescent="0.15">
      <c r="O200" s="3"/>
    </row>
    <row r="201" spans="15:15" ht="13" x14ac:dyDescent="0.15">
      <c r="O201" s="3"/>
    </row>
    <row r="202" spans="15:15" ht="13" x14ac:dyDescent="0.15">
      <c r="O202" s="3"/>
    </row>
    <row r="203" spans="15:15" ht="13" x14ac:dyDescent="0.15">
      <c r="O203" s="3"/>
    </row>
    <row r="204" spans="15:15" ht="13" x14ac:dyDescent="0.15">
      <c r="O204" s="3"/>
    </row>
    <row r="205" spans="15:15" ht="13" x14ac:dyDescent="0.15">
      <c r="O205" s="3"/>
    </row>
    <row r="206" spans="15:15" ht="13" x14ac:dyDescent="0.15">
      <c r="O206" s="3"/>
    </row>
    <row r="207" spans="15:15" ht="13" x14ac:dyDescent="0.15">
      <c r="O207" s="3"/>
    </row>
    <row r="208" spans="15:15" ht="13" x14ac:dyDescent="0.15">
      <c r="O208" s="3"/>
    </row>
    <row r="209" spans="15:15" ht="13" x14ac:dyDescent="0.15">
      <c r="O209" s="3"/>
    </row>
    <row r="210" spans="15:15" ht="13" x14ac:dyDescent="0.15">
      <c r="O210" s="3"/>
    </row>
    <row r="211" spans="15:15" ht="13" x14ac:dyDescent="0.15">
      <c r="O211" s="3"/>
    </row>
    <row r="212" spans="15:15" ht="13" x14ac:dyDescent="0.15">
      <c r="O212" s="3"/>
    </row>
    <row r="213" spans="15:15" ht="13" x14ac:dyDescent="0.15">
      <c r="O213" s="3"/>
    </row>
    <row r="214" spans="15:15" ht="13" x14ac:dyDescent="0.15">
      <c r="O214" s="3"/>
    </row>
    <row r="215" spans="15:15" ht="13" x14ac:dyDescent="0.15">
      <c r="O215" s="3"/>
    </row>
    <row r="216" spans="15:15" ht="13" x14ac:dyDescent="0.15">
      <c r="O216" s="3"/>
    </row>
    <row r="217" spans="15:15" ht="13" x14ac:dyDescent="0.15">
      <c r="O217" s="3"/>
    </row>
    <row r="218" spans="15:15" ht="13" x14ac:dyDescent="0.15">
      <c r="O218" s="3"/>
    </row>
    <row r="219" spans="15:15" ht="13" x14ac:dyDescent="0.15">
      <c r="O219" s="3"/>
    </row>
    <row r="220" spans="15:15" ht="13" x14ac:dyDescent="0.15">
      <c r="O220" s="3"/>
    </row>
    <row r="221" spans="15:15" ht="13" x14ac:dyDescent="0.15">
      <c r="O221" s="3"/>
    </row>
    <row r="222" spans="15:15" ht="13" x14ac:dyDescent="0.15">
      <c r="O222" s="3"/>
    </row>
    <row r="223" spans="15:15" ht="13" x14ac:dyDescent="0.15">
      <c r="O223" s="3"/>
    </row>
    <row r="224" spans="15:15" ht="13" x14ac:dyDescent="0.15">
      <c r="O224" s="3"/>
    </row>
    <row r="225" spans="15:15" ht="13" x14ac:dyDescent="0.15">
      <c r="O225" s="3"/>
    </row>
    <row r="226" spans="15:15" ht="13" x14ac:dyDescent="0.15">
      <c r="O226" s="3"/>
    </row>
    <row r="227" spans="15:15" ht="13" x14ac:dyDescent="0.15">
      <c r="O227" s="3"/>
    </row>
    <row r="228" spans="15:15" ht="13" x14ac:dyDescent="0.15">
      <c r="O228" s="3"/>
    </row>
    <row r="229" spans="15:15" ht="13" x14ac:dyDescent="0.15">
      <c r="O229" s="3"/>
    </row>
    <row r="230" spans="15:15" ht="13" x14ac:dyDescent="0.15">
      <c r="O230" s="3"/>
    </row>
    <row r="231" spans="15:15" ht="13" x14ac:dyDescent="0.15">
      <c r="O231" s="3"/>
    </row>
    <row r="232" spans="15:15" ht="13" x14ac:dyDescent="0.15">
      <c r="O232" s="3"/>
    </row>
    <row r="233" spans="15:15" ht="13" x14ac:dyDescent="0.15">
      <c r="O233" s="3"/>
    </row>
    <row r="234" spans="15:15" ht="13" x14ac:dyDescent="0.15">
      <c r="O234" s="3"/>
    </row>
    <row r="235" spans="15:15" ht="13" x14ac:dyDescent="0.15">
      <c r="O235" s="3"/>
    </row>
    <row r="236" spans="15:15" ht="13" x14ac:dyDescent="0.15">
      <c r="O236" s="3"/>
    </row>
    <row r="237" spans="15:15" ht="13" x14ac:dyDescent="0.15">
      <c r="O237" s="3"/>
    </row>
    <row r="238" spans="15:15" ht="13" x14ac:dyDescent="0.15">
      <c r="O238" s="3"/>
    </row>
    <row r="239" spans="15:15" ht="13" x14ac:dyDescent="0.15">
      <c r="O239" s="3"/>
    </row>
    <row r="240" spans="15:15" ht="13" x14ac:dyDescent="0.15">
      <c r="O240" s="3"/>
    </row>
    <row r="241" spans="15:15" ht="13" x14ac:dyDescent="0.15">
      <c r="O241" s="3"/>
    </row>
    <row r="242" spans="15:15" ht="13" x14ac:dyDescent="0.15">
      <c r="O242" s="3"/>
    </row>
    <row r="243" spans="15:15" ht="13" x14ac:dyDescent="0.15">
      <c r="O243" s="3"/>
    </row>
    <row r="244" spans="15:15" ht="13" x14ac:dyDescent="0.15">
      <c r="O244" s="3"/>
    </row>
    <row r="245" spans="15:15" ht="13" x14ac:dyDescent="0.15">
      <c r="O245" s="3"/>
    </row>
    <row r="246" spans="15:15" ht="13" x14ac:dyDescent="0.15">
      <c r="O246" s="3"/>
    </row>
    <row r="247" spans="15:15" ht="13" x14ac:dyDescent="0.15">
      <c r="O247" s="3"/>
    </row>
    <row r="248" spans="15:15" ht="13" x14ac:dyDescent="0.15">
      <c r="O248" s="3"/>
    </row>
    <row r="249" spans="15:15" ht="13" x14ac:dyDescent="0.15">
      <c r="O249" s="3"/>
    </row>
    <row r="250" spans="15:15" ht="13" x14ac:dyDescent="0.15">
      <c r="O250" s="3"/>
    </row>
    <row r="251" spans="15:15" ht="13" x14ac:dyDescent="0.15">
      <c r="O251" s="3"/>
    </row>
    <row r="252" spans="15:15" ht="13" x14ac:dyDescent="0.15">
      <c r="O252" s="3"/>
    </row>
    <row r="253" spans="15:15" ht="13" x14ac:dyDescent="0.15">
      <c r="O253" s="3"/>
    </row>
    <row r="254" spans="15:15" ht="13" x14ac:dyDescent="0.15">
      <c r="O254" s="3"/>
    </row>
    <row r="255" spans="15:15" ht="13" x14ac:dyDescent="0.15">
      <c r="O255" s="3"/>
    </row>
    <row r="256" spans="15:15" ht="13" x14ac:dyDescent="0.15">
      <c r="O256" s="3"/>
    </row>
    <row r="257" spans="15:15" ht="13" x14ac:dyDescent="0.15">
      <c r="O257" s="3"/>
    </row>
    <row r="258" spans="15:15" ht="13" x14ac:dyDescent="0.15">
      <c r="O258" s="3"/>
    </row>
    <row r="259" spans="15:15" ht="13" x14ac:dyDescent="0.15">
      <c r="O259" s="3"/>
    </row>
    <row r="260" spans="15:15" ht="13" x14ac:dyDescent="0.15">
      <c r="O260" s="3"/>
    </row>
    <row r="261" spans="15:15" ht="13" x14ac:dyDescent="0.15">
      <c r="O261" s="3"/>
    </row>
    <row r="262" spans="15:15" ht="13" x14ac:dyDescent="0.15">
      <c r="O262" s="3"/>
    </row>
    <row r="263" spans="15:15" ht="13" x14ac:dyDescent="0.15">
      <c r="O263" s="3"/>
    </row>
    <row r="264" spans="15:15" ht="13" x14ac:dyDescent="0.15">
      <c r="O264" s="3"/>
    </row>
    <row r="265" spans="15:15" ht="13" x14ac:dyDescent="0.15">
      <c r="O265" s="3"/>
    </row>
    <row r="266" spans="15:15" ht="13" x14ac:dyDescent="0.15">
      <c r="O266" s="3"/>
    </row>
    <row r="267" spans="15:15" ht="13" x14ac:dyDescent="0.15">
      <c r="O267" s="3"/>
    </row>
    <row r="268" spans="15:15" ht="13" x14ac:dyDescent="0.15">
      <c r="O268" s="3"/>
    </row>
    <row r="269" spans="15:15" ht="13" x14ac:dyDescent="0.15">
      <c r="O269" s="3"/>
    </row>
    <row r="270" spans="15:15" ht="13" x14ac:dyDescent="0.15">
      <c r="O270" s="3"/>
    </row>
    <row r="271" spans="15:15" ht="13" x14ac:dyDescent="0.15">
      <c r="O271" s="3"/>
    </row>
    <row r="272" spans="15:15" ht="13" x14ac:dyDescent="0.15">
      <c r="O272" s="3"/>
    </row>
    <row r="273" spans="15:15" ht="13" x14ac:dyDescent="0.15">
      <c r="O273" s="3"/>
    </row>
    <row r="274" spans="15:15" ht="13" x14ac:dyDescent="0.15">
      <c r="O274" s="3"/>
    </row>
    <row r="275" spans="15:15" ht="13" x14ac:dyDescent="0.15">
      <c r="O275" s="3"/>
    </row>
    <row r="276" spans="15:15" ht="13" x14ac:dyDescent="0.15">
      <c r="O276" s="3"/>
    </row>
    <row r="277" spans="15:15" ht="13" x14ac:dyDescent="0.15">
      <c r="O277" s="3"/>
    </row>
    <row r="278" spans="15:15" ht="13" x14ac:dyDescent="0.15">
      <c r="O278" s="3"/>
    </row>
    <row r="279" spans="15:15" ht="13" x14ac:dyDescent="0.15">
      <c r="O279" s="3"/>
    </row>
    <row r="280" spans="15:15" ht="13" x14ac:dyDescent="0.15">
      <c r="O280" s="3"/>
    </row>
    <row r="281" spans="15:15" ht="13" x14ac:dyDescent="0.15">
      <c r="O281" s="3"/>
    </row>
    <row r="282" spans="15:15" ht="13" x14ac:dyDescent="0.15">
      <c r="O282" s="3"/>
    </row>
    <row r="283" spans="15:15" ht="13" x14ac:dyDescent="0.15">
      <c r="O283" s="3"/>
    </row>
    <row r="284" spans="15:15" ht="13" x14ac:dyDescent="0.15">
      <c r="O284" s="3"/>
    </row>
    <row r="285" spans="15:15" ht="13" x14ac:dyDescent="0.15">
      <c r="O285" s="3"/>
    </row>
    <row r="286" spans="15:15" ht="13" x14ac:dyDescent="0.15">
      <c r="O286" s="3"/>
    </row>
    <row r="287" spans="15:15" ht="13" x14ac:dyDescent="0.15">
      <c r="O287" s="3"/>
    </row>
    <row r="288" spans="15:15" ht="13" x14ac:dyDescent="0.15">
      <c r="O288" s="3"/>
    </row>
    <row r="289" spans="15:15" ht="13" x14ac:dyDescent="0.15">
      <c r="O289" s="3"/>
    </row>
    <row r="290" spans="15:15" ht="13" x14ac:dyDescent="0.15">
      <c r="O290" s="3"/>
    </row>
    <row r="291" spans="15:15" ht="13" x14ac:dyDescent="0.15">
      <c r="O291" s="3"/>
    </row>
    <row r="292" spans="15:15" ht="13" x14ac:dyDescent="0.15">
      <c r="O292" s="3"/>
    </row>
    <row r="293" spans="15:15" ht="13" x14ac:dyDescent="0.15">
      <c r="O293" s="3"/>
    </row>
    <row r="294" spans="15:15" ht="13" x14ac:dyDescent="0.15">
      <c r="O294" s="3"/>
    </row>
    <row r="295" spans="15:15" ht="13" x14ac:dyDescent="0.15">
      <c r="O295" s="3"/>
    </row>
    <row r="296" spans="15:15" ht="13" x14ac:dyDescent="0.15">
      <c r="O296" s="3"/>
    </row>
    <row r="297" spans="15:15" ht="13" x14ac:dyDescent="0.15">
      <c r="O297" s="3"/>
    </row>
    <row r="298" spans="15:15" ht="13" x14ac:dyDescent="0.15">
      <c r="O298" s="3"/>
    </row>
    <row r="299" spans="15:15" ht="13" x14ac:dyDescent="0.15">
      <c r="O299" s="3"/>
    </row>
    <row r="300" spans="15:15" ht="13" x14ac:dyDescent="0.15">
      <c r="O300" s="3"/>
    </row>
    <row r="301" spans="15:15" ht="13" x14ac:dyDescent="0.15">
      <c r="O301" s="3"/>
    </row>
    <row r="302" spans="15:15" ht="13" x14ac:dyDescent="0.15">
      <c r="O302" s="3"/>
    </row>
    <row r="303" spans="15:15" ht="13" x14ac:dyDescent="0.15">
      <c r="O303" s="3"/>
    </row>
    <row r="304" spans="15:15" ht="13" x14ac:dyDescent="0.15">
      <c r="O304" s="3"/>
    </row>
    <row r="305" spans="15:15" ht="13" x14ac:dyDescent="0.15">
      <c r="O305" s="3"/>
    </row>
    <row r="306" spans="15:15" ht="13" x14ac:dyDescent="0.15">
      <c r="O306" s="3"/>
    </row>
    <row r="307" spans="15:15" ht="13" x14ac:dyDescent="0.15">
      <c r="O307" s="3"/>
    </row>
    <row r="308" spans="15:15" ht="13" x14ac:dyDescent="0.15">
      <c r="O308" s="3"/>
    </row>
    <row r="309" spans="15:15" ht="13" x14ac:dyDescent="0.15">
      <c r="O309" s="3"/>
    </row>
    <row r="310" spans="15:15" ht="13" x14ac:dyDescent="0.15">
      <c r="O310" s="3"/>
    </row>
    <row r="311" spans="15:15" ht="13" x14ac:dyDescent="0.15">
      <c r="O311" s="3"/>
    </row>
    <row r="312" spans="15:15" ht="13" x14ac:dyDescent="0.15">
      <c r="O312" s="3"/>
    </row>
    <row r="313" spans="15:15" ht="13" x14ac:dyDescent="0.15">
      <c r="O313" s="3"/>
    </row>
    <row r="314" spans="15:15" ht="13" x14ac:dyDescent="0.15">
      <c r="O314" s="3"/>
    </row>
    <row r="315" spans="15:15" ht="13" x14ac:dyDescent="0.15">
      <c r="O315" s="3"/>
    </row>
    <row r="316" spans="15:15" ht="13" x14ac:dyDescent="0.15">
      <c r="O316" s="3"/>
    </row>
    <row r="317" spans="15:15" ht="13" x14ac:dyDescent="0.15">
      <c r="O317" s="3"/>
    </row>
    <row r="318" spans="15:15" ht="13" x14ac:dyDescent="0.15">
      <c r="O318" s="3"/>
    </row>
    <row r="319" spans="15:15" ht="13" x14ac:dyDescent="0.15">
      <c r="O319" s="3"/>
    </row>
    <row r="320" spans="15:15" ht="13" x14ac:dyDescent="0.15">
      <c r="O320" s="3"/>
    </row>
    <row r="321" spans="15:15" ht="13" x14ac:dyDescent="0.15">
      <c r="O321" s="3"/>
    </row>
    <row r="322" spans="15:15" ht="13" x14ac:dyDescent="0.15">
      <c r="O322" s="3"/>
    </row>
    <row r="323" spans="15:15" ht="13" x14ac:dyDescent="0.15">
      <c r="O323" s="3"/>
    </row>
    <row r="324" spans="15:15" ht="13" x14ac:dyDescent="0.15">
      <c r="O324" s="3"/>
    </row>
    <row r="325" spans="15:15" ht="13" x14ac:dyDescent="0.15">
      <c r="O325" s="3"/>
    </row>
    <row r="326" spans="15:15" ht="13" x14ac:dyDescent="0.15">
      <c r="O326" s="3"/>
    </row>
    <row r="327" spans="15:15" ht="13" x14ac:dyDescent="0.15">
      <c r="O327" s="3"/>
    </row>
    <row r="328" spans="15:15" ht="13" x14ac:dyDescent="0.15">
      <c r="O328" s="3"/>
    </row>
    <row r="329" spans="15:15" ht="13" x14ac:dyDescent="0.15">
      <c r="O329" s="3"/>
    </row>
    <row r="330" spans="15:15" ht="13" x14ac:dyDescent="0.15">
      <c r="O330" s="3"/>
    </row>
    <row r="331" spans="15:15" ht="13" x14ac:dyDescent="0.15">
      <c r="O331" s="3"/>
    </row>
    <row r="332" spans="15:15" ht="13" x14ac:dyDescent="0.15">
      <c r="O332" s="3"/>
    </row>
    <row r="333" spans="15:15" ht="13" x14ac:dyDescent="0.15">
      <c r="O333" s="3"/>
    </row>
    <row r="334" spans="15:15" ht="13" x14ac:dyDescent="0.15">
      <c r="O334" s="3"/>
    </row>
    <row r="335" spans="15:15" ht="13" x14ac:dyDescent="0.15">
      <c r="O335" s="3"/>
    </row>
    <row r="336" spans="15:15" ht="13" x14ac:dyDescent="0.15">
      <c r="O336" s="3"/>
    </row>
    <row r="337" spans="15:15" ht="13" x14ac:dyDescent="0.15">
      <c r="O337" s="3"/>
    </row>
    <row r="338" spans="15:15" ht="13" x14ac:dyDescent="0.15">
      <c r="O338" s="3"/>
    </row>
    <row r="339" spans="15:15" ht="13" x14ac:dyDescent="0.15">
      <c r="O339" s="3"/>
    </row>
    <row r="340" spans="15:15" ht="13" x14ac:dyDescent="0.15">
      <c r="O340" s="3"/>
    </row>
    <row r="341" spans="15:15" ht="13" x14ac:dyDescent="0.15">
      <c r="O341" s="3"/>
    </row>
    <row r="342" spans="15:15" ht="13" x14ac:dyDescent="0.15">
      <c r="O342" s="3"/>
    </row>
    <row r="343" spans="15:15" ht="13" x14ac:dyDescent="0.15">
      <c r="O343" s="3"/>
    </row>
    <row r="344" spans="15:15" ht="13" x14ac:dyDescent="0.15">
      <c r="O344" s="3"/>
    </row>
    <row r="345" spans="15:15" ht="13" x14ac:dyDescent="0.15">
      <c r="O345" s="3"/>
    </row>
    <row r="346" spans="15:15" ht="13" x14ac:dyDescent="0.15">
      <c r="O346" s="3"/>
    </row>
    <row r="347" spans="15:15" ht="13" x14ac:dyDescent="0.15">
      <c r="O347" s="3"/>
    </row>
    <row r="348" spans="15:15" ht="13" x14ac:dyDescent="0.15">
      <c r="O348" s="3"/>
    </row>
    <row r="349" spans="15:15" ht="13" x14ac:dyDescent="0.15">
      <c r="O349" s="3"/>
    </row>
    <row r="350" spans="15:15" ht="13" x14ac:dyDescent="0.15">
      <c r="O350" s="3"/>
    </row>
    <row r="351" spans="15:15" ht="13" x14ac:dyDescent="0.15">
      <c r="O351" s="3"/>
    </row>
    <row r="352" spans="15:15" ht="13" x14ac:dyDescent="0.15">
      <c r="O352" s="3"/>
    </row>
    <row r="353" spans="15:15" ht="13" x14ac:dyDescent="0.15">
      <c r="O353" s="3"/>
    </row>
    <row r="354" spans="15:15" ht="13" x14ac:dyDescent="0.15">
      <c r="O354" s="3"/>
    </row>
    <row r="355" spans="15:15" ht="13" x14ac:dyDescent="0.15">
      <c r="O355" s="3"/>
    </row>
    <row r="356" spans="15:15" ht="13" x14ac:dyDescent="0.15">
      <c r="O356" s="3"/>
    </row>
    <row r="357" spans="15:15" ht="13" x14ac:dyDescent="0.15">
      <c r="O357" s="3"/>
    </row>
    <row r="358" spans="15:15" ht="13" x14ac:dyDescent="0.15">
      <c r="O358" s="3"/>
    </row>
    <row r="359" spans="15:15" ht="13" x14ac:dyDescent="0.15">
      <c r="O359" s="3"/>
    </row>
    <row r="360" spans="15:15" ht="13" x14ac:dyDescent="0.15">
      <c r="O360" s="3"/>
    </row>
    <row r="361" spans="15:15" ht="13" x14ac:dyDescent="0.15">
      <c r="O361" s="3"/>
    </row>
    <row r="362" spans="15:15" ht="13" x14ac:dyDescent="0.15">
      <c r="O362" s="3"/>
    </row>
    <row r="363" spans="15:15" ht="13" x14ac:dyDescent="0.15">
      <c r="O363" s="3"/>
    </row>
    <row r="364" spans="15:15" ht="13" x14ac:dyDescent="0.15">
      <c r="O364" s="3"/>
    </row>
    <row r="365" spans="15:15" ht="13" x14ac:dyDescent="0.15">
      <c r="O365" s="3"/>
    </row>
    <row r="366" spans="15:15" ht="13" x14ac:dyDescent="0.15">
      <c r="O366" s="3"/>
    </row>
    <row r="367" spans="15:15" ht="13" x14ac:dyDescent="0.15">
      <c r="O367" s="3"/>
    </row>
    <row r="368" spans="15:15" ht="13" x14ac:dyDescent="0.15">
      <c r="O368" s="3"/>
    </row>
    <row r="369" spans="15:15" ht="13" x14ac:dyDescent="0.15">
      <c r="O369" s="3"/>
    </row>
    <row r="370" spans="15:15" ht="13" x14ac:dyDescent="0.15">
      <c r="O370" s="3"/>
    </row>
    <row r="371" spans="15:15" ht="13" x14ac:dyDescent="0.15">
      <c r="O371" s="3"/>
    </row>
    <row r="372" spans="15:15" ht="13" x14ac:dyDescent="0.15">
      <c r="O372" s="3"/>
    </row>
    <row r="373" spans="15:15" ht="13" x14ac:dyDescent="0.15">
      <c r="O373" s="3"/>
    </row>
    <row r="374" spans="15:15" ht="13" x14ac:dyDescent="0.15">
      <c r="O374" s="3"/>
    </row>
    <row r="375" spans="15:15" ht="13" x14ac:dyDescent="0.15">
      <c r="O375" s="3"/>
    </row>
    <row r="376" spans="15:15" ht="13" x14ac:dyDescent="0.15">
      <c r="O376" s="3"/>
    </row>
    <row r="377" spans="15:15" ht="13" x14ac:dyDescent="0.15">
      <c r="O377" s="3"/>
    </row>
    <row r="378" spans="15:15" ht="13" x14ac:dyDescent="0.15">
      <c r="O378" s="3"/>
    </row>
    <row r="379" spans="15:15" ht="13" x14ac:dyDescent="0.15">
      <c r="O379" s="3"/>
    </row>
    <row r="380" spans="15:15" ht="13" x14ac:dyDescent="0.15">
      <c r="O380" s="3"/>
    </row>
    <row r="381" spans="15:15" ht="13" x14ac:dyDescent="0.15">
      <c r="O381" s="3"/>
    </row>
    <row r="382" spans="15:15" ht="13" x14ac:dyDescent="0.15">
      <c r="O382" s="3"/>
    </row>
    <row r="383" spans="15:15" ht="13" x14ac:dyDescent="0.15">
      <c r="O383" s="3"/>
    </row>
    <row r="384" spans="15:15" ht="13" x14ac:dyDescent="0.15">
      <c r="O384" s="3"/>
    </row>
    <row r="385" spans="15:15" ht="13" x14ac:dyDescent="0.15">
      <c r="O385" s="3"/>
    </row>
    <row r="386" spans="15:15" ht="13" x14ac:dyDescent="0.15">
      <c r="O386" s="3"/>
    </row>
    <row r="387" spans="15:15" ht="13" x14ac:dyDescent="0.15">
      <c r="O387" s="3"/>
    </row>
    <row r="388" spans="15:15" ht="13" x14ac:dyDescent="0.15">
      <c r="O388" s="3"/>
    </row>
    <row r="389" spans="15:15" ht="13" x14ac:dyDescent="0.15">
      <c r="O389" s="3"/>
    </row>
    <row r="390" spans="15:15" ht="13" x14ac:dyDescent="0.15">
      <c r="O390" s="3"/>
    </row>
    <row r="391" spans="15:15" ht="13" x14ac:dyDescent="0.15">
      <c r="O391" s="3"/>
    </row>
    <row r="392" spans="15:15" ht="13" x14ac:dyDescent="0.15">
      <c r="O392" s="3"/>
    </row>
    <row r="393" spans="15:15" ht="13" x14ac:dyDescent="0.15">
      <c r="O393" s="3"/>
    </row>
    <row r="394" spans="15:15" ht="13" x14ac:dyDescent="0.15">
      <c r="O394" s="3"/>
    </row>
    <row r="395" spans="15:15" ht="13" x14ac:dyDescent="0.15">
      <c r="O395" s="3"/>
    </row>
    <row r="396" spans="15:15" ht="13" x14ac:dyDescent="0.15">
      <c r="O396" s="3"/>
    </row>
    <row r="397" spans="15:15" ht="13" x14ac:dyDescent="0.15">
      <c r="O397" s="3"/>
    </row>
    <row r="398" spans="15:15" ht="13" x14ac:dyDescent="0.15">
      <c r="O398" s="3"/>
    </row>
    <row r="399" spans="15:15" ht="13" x14ac:dyDescent="0.15">
      <c r="O399" s="3"/>
    </row>
    <row r="400" spans="15:15" ht="13" x14ac:dyDescent="0.15">
      <c r="O400" s="3"/>
    </row>
    <row r="401" spans="15:15" ht="13" x14ac:dyDescent="0.15">
      <c r="O401" s="3"/>
    </row>
    <row r="402" spans="15:15" ht="13" x14ac:dyDescent="0.15">
      <c r="O402" s="3"/>
    </row>
    <row r="403" spans="15:15" ht="13" x14ac:dyDescent="0.15">
      <c r="O403" s="3"/>
    </row>
    <row r="404" spans="15:15" ht="13" x14ac:dyDescent="0.15">
      <c r="O404" s="3"/>
    </row>
    <row r="405" spans="15:15" ht="13" x14ac:dyDescent="0.15">
      <c r="O405" s="3"/>
    </row>
    <row r="406" spans="15:15" ht="13" x14ac:dyDescent="0.15">
      <c r="O406" s="3"/>
    </row>
    <row r="407" spans="15:15" ht="13" x14ac:dyDescent="0.15">
      <c r="O407" s="3"/>
    </row>
    <row r="408" spans="15:15" ht="13" x14ac:dyDescent="0.15">
      <c r="O408" s="3"/>
    </row>
    <row r="409" spans="15:15" ht="13" x14ac:dyDescent="0.15">
      <c r="O409" s="3"/>
    </row>
    <row r="410" spans="15:15" ht="13" x14ac:dyDescent="0.15">
      <c r="O410" s="3"/>
    </row>
    <row r="411" spans="15:15" ht="13" x14ac:dyDescent="0.15">
      <c r="O411" s="3"/>
    </row>
    <row r="412" spans="15:15" ht="13" x14ac:dyDescent="0.15">
      <c r="O412" s="3"/>
    </row>
    <row r="413" spans="15:15" ht="13" x14ac:dyDescent="0.15">
      <c r="O413" s="3"/>
    </row>
    <row r="414" spans="15:15" ht="13" x14ac:dyDescent="0.15">
      <c r="O414" s="3"/>
    </row>
    <row r="415" spans="15:15" ht="13" x14ac:dyDescent="0.15">
      <c r="O415" s="3"/>
    </row>
    <row r="416" spans="15:15" ht="13" x14ac:dyDescent="0.15">
      <c r="O416" s="3"/>
    </row>
    <row r="417" spans="15:15" ht="13" x14ac:dyDescent="0.15">
      <c r="O417" s="3"/>
    </row>
    <row r="418" spans="15:15" ht="13" x14ac:dyDescent="0.15">
      <c r="O418" s="3"/>
    </row>
    <row r="419" spans="15:15" ht="13" x14ac:dyDescent="0.15">
      <c r="O419" s="3"/>
    </row>
    <row r="420" spans="15:15" ht="13" x14ac:dyDescent="0.15">
      <c r="O420" s="3"/>
    </row>
    <row r="421" spans="15:15" ht="13" x14ac:dyDescent="0.15">
      <c r="O421" s="3"/>
    </row>
    <row r="422" spans="15:15" ht="13" x14ac:dyDescent="0.15">
      <c r="O422" s="3"/>
    </row>
    <row r="423" spans="15:15" ht="13" x14ac:dyDescent="0.15">
      <c r="O423" s="3"/>
    </row>
    <row r="424" spans="15:15" ht="13" x14ac:dyDescent="0.15">
      <c r="O424" s="3"/>
    </row>
    <row r="425" spans="15:15" ht="13" x14ac:dyDescent="0.15">
      <c r="O425" s="3"/>
    </row>
    <row r="426" spans="15:15" ht="13" x14ac:dyDescent="0.15">
      <c r="O426" s="3"/>
    </row>
    <row r="427" spans="15:15" ht="13" x14ac:dyDescent="0.15">
      <c r="O427" s="3"/>
    </row>
    <row r="428" spans="15:15" ht="13" x14ac:dyDescent="0.15">
      <c r="O428" s="3"/>
    </row>
    <row r="429" spans="15:15" ht="13" x14ac:dyDescent="0.15">
      <c r="O429" s="3"/>
    </row>
    <row r="430" spans="15:15" ht="13" x14ac:dyDescent="0.15">
      <c r="O430" s="3"/>
    </row>
    <row r="431" spans="15:15" ht="13" x14ac:dyDescent="0.15">
      <c r="O431" s="3"/>
    </row>
    <row r="432" spans="15:15" ht="13" x14ac:dyDescent="0.15">
      <c r="O432" s="3"/>
    </row>
    <row r="433" spans="15:15" ht="13" x14ac:dyDescent="0.15">
      <c r="O433" s="3"/>
    </row>
    <row r="434" spans="15:15" ht="13" x14ac:dyDescent="0.15">
      <c r="O434" s="3"/>
    </row>
    <row r="435" spans="15:15" ht="13" x14ac:dyDescent="0.15">
      <c r="O435" s="3"/>
    </row>
    <row r="436" spans="15:15" ht="13" x14ac:dyDescent="0.15">
      <c r="O436" s="3"/>
    </row>
    <row r="437" spans="15:15" ht="13" x14ac:dyDescent="0.15">
      <c r="O437" s="3"/>
    </row>
    <row r="438" spans="15:15" ht="13" x14ac:dyDescent="0.15">
      <c r="O438" s="3"/>
    </row>
    <row r="439" spans="15:15" ht="13" x14ac:dyDescent="0.15">
      <c r="O439" s="3"/>
    </row>
    <row r="440" spans="15:15" ht="13" x14ac:dyDescent="0.15">
      <c r="O440" s="3"/>
    </row>
    <row r="441" spans="15:15" ht="13" x14ac:dyDescent="0.15">
      <c r="O441" s="3"/>
    </row>
    <row r="442" spans="15:15" ht="13" x14ac:dyDescent="0.15">
      <c r="O442" s="3"/>
    </row>
    <row r="443" spans="15:15" ht="13" x14ac:dyDescent="0.15">
      <c r="O443" s="3"/>
    </row>
    <row r="444" spans="15:15" ht="13" x14ac:dyDescent="0.15">
      <c r="O444" s="3"/>
    </row>
    <row r="445" spans="15:15" ht="13" x14ac:dyDescent="0.15">
      <c r="O445" s="3"/>
    </row>
    <row r="446" spans="15:15" ht="13" x14ac:dyDescent="0.15">
      <c r="O446" s="3"/>
    </row>
    <row r="447" spans="15:15" ht="13" x14ac:dyDescent="0.15">
      <c r="O447" s="3"/>
    </row>
    <row r="448" spans="15:15" ht="13" x14ac:dyDescent="0.15">
      <c r="O448" s="3"/>
    </row>
    <row r="449" spans="15:15" ht="13" x14ac:dyDescent="0.15">
      <c r="O449" s="3"/>
    </row>
    <row r="450" spans="15:15" ht="13" x14ac:dyDescent="0.15">
      <c r="O450" s="3"/>
    </row>
    <row r="451" spans="15:15" ht="13" x14ac:dyDescent="0.15">
      <c r="O451" s="3"/>
    </row>
    <row r="452" spans="15:15" ht="13" x14ac:dyDescent="0.15">
      <c r="O452" s="3"/>
    </row>
    <row r="453" spans="15:15" ht="13" x14ac:dyDescent="0.15">
      <c r="O453" s="3"/>
    </row>
    <row r="454" spans="15:15" ht="13" x14ac:dyDescent="0.15">
      <c r="O454" s="3"/>
    </row>
    <row r="455" spans="15:15" ht="13" x14ac:dyDescent="0.15">
      <c r="O455" s="3"/>
    </row>
    <row r="456" spans="15:15" ht="13" x14ac:dyDescent="0.15">
      <c r="O456" s="3"/>
    </row>
    <row r="457" spans="15:15" ht="13" x14ac:dyDescent="0.15">
      <c r="O457" s="3"/>
    </row>
    <row r="458" spans="15:15" ht="13" x14ac:dyDescent="0.15">
      <c r="O458" s="3"/>
    </row>
    <row r="459" spans="15:15" ht="13" x14ac:dyDescent="0.15">
      <c r="O459" s="3"/>
    </row>
    <row r="460" spans="15:15" ht="13" x14ac:dyDescent="0.15">
      <c r="O460" s="3"/>
    </row>
    <row r="461" spans="15:15" ht="13" x14ac:dyDescent="0.15">
      <c r="O461" s="3"/>
    </row>
    <row r="462" spans="15:15" ht="13" x14ac:dyDescent="0.15">
      <c r="O462" s="3"/>
    </row>
    <row r="463" spans="15:15" ht="13" x14ac:dyDescent="0.15">
      <c r="O463" s="3"/>
    </row>
    <row r="464" spans="15:15" ht="13" x14ac:dyDescent="0.15">
      <c r="O464" s="3"/>
    </row>
    <row r="465" spans="15:15" ht="13" x14ac:dyDescent="0.15">
      <c r="O465" s="3"/>
    </row>
    <row r="466" spans="15:15" ht="13" x14ac:dyDescent="0.15">
      <c r="O466" s="3"/>
    </row>
    <row r="467" spans="15:15" ht="13" x14ac:dyDescent="0.15">
      <c r="O467" s="3"/>
    </row>
    <row r="468" spans="15:15" ht="13" x14ac:dyDescent="0.15">
      <c r="O468" s="3"/>
    </row>
    <row r="469" spans="15:15" ht="13" x14ac:dyDescent="0.15">
      <c r="O469" s="3"/>
    </row>
    <row r="470" spans="15:15" ht="13" x14ac:dyDescent="0.15">
      <c r="O470" s="3"/>
    </row>
    <row r="471" spans="15:15" ht="13" x14ac:dyDescent="0.15">
      <c r="O471" s="3"/>
    </row>
    <row r="472" spans="15:15" ht="13" x14ac:dyDescent="0.15">
      <c r="O472" s="3"/>
    </row>
    <row r="473" spans="15:15" ht="13" x14ac:dyDescent="0.15">
      <c r="O473" s="3"/>
    </row>
    <row r="474" spans="15:15" ht="13" x14ac:dyDescent="0.15">
      <c r="O474" s="3"/>
    </row>
    <row r="475" spans="15:15" ht="13" x14ac:dyDescent="0.15">
      <c r="O475" s="3"/>
    </row>
    <row r="476" spans="15:15" ht="13" x14ac:dyDescent="0.15">
      <c r="O476" s="3"/>
    </row>
    <row r="477" spans="15:15" ht="13" x14ac:dyDescent="0.15">
      <c r="O477" s="3"/>
    </row>
    <row r="478" spans="15:15" ht="13" x14ac:dyDescent="0.15">
      <c r="O478" s="3"/>
    </row>
    <row r="479" spans="15:15" ht="13" x14ac:dyDescent="0.15">
      <c r="O479" s="3"/>
    </row>
    <row r="480" spans="15:15" ht="13" x14ac:dyDescent="0.15">
      <c r="O480" s="3"/>
    </row>
    <row r="481" spans="15:15" ht="13" x14ac:dyDescent="0.15">
      <c r="O481" s="3"/>
    </row>
    <row r="482" spans="15:15" ht="13" x14ac:dyDescent="0.15">
      <c r="O482" s="3"/>
    </row>
    <row r="483" spans="15:15" ht="13" x14ac:dyDescent="0.15">
      <c r="O483" s="3"/>
    </row>
    <row r="484" spans="15:15" ht="13" x14ac:dyDescent="0.15">
      <c r="O484" s="3"/>
    </row>
    <row r="485" spans="15:15" ht="13" x14ac:dyDescent="0.15">
      <c r="O485" s="3"/>
    </row>
    <row r="486" spans="15:15" ht="13" x14ac:dyDescent="0.15">
      <c r="O486" s="3"/>
    </row>
    <row r="487" spans="15:15" ht="13" x14ac:dyDescent="0.15">
      <c r="O487" s="3"/>
    </row>
    <row r="488" spans="15:15" ht="13" x14ac:dyDescent="0.15">
      <c r="O488" s="3"/>
    </row>
    <row r="489" spans="15:15" ht="13" x14ac:dyDescent="0.15">
      <c r="O489" s="3"/>
    </row>
    <row r="490" spans="15:15" ht="13" x14ac:dyDescent="0.15">
      <c r="O490" s="3"/>
    </row>
    <row r="491" spans="15:15" ht="13" x14ac:dyDescent="0.15">
      <c r="O491" s="3"/>
    </row>
    <row r="492" spans="15:15" ht="13" x14ac:dyDescent="0.15">
      <c r="O492" s="3"/>
    </row>
    <row r="493" spans="15:15" ht="13" x14ac:dyDescent="0.15">
      <c r="O493" s="3"/>
    </row>
    <row r="494" spans="15:15" ht="13" x14ac:dyDescent="0.15">
      <c r="O494" s="3"/>
    </row>
    <row r="495" spans="15:15" ht="13" x14ac:dyDescent="0.15">
      <c r="O495" s="3"/>
    </row>
    <row r="496" spans="15:15" ht="13" x14ac:dyDescent="0.15">
      <c r="O496" s="3"/>
    </row>
    <row r="497" spans="15:15" ht="13" x14ac:dyDescent="0.15">
      <c r="O497" s="3"/>
    </row>
    <row r="498" spans="15:15" ht="13" x14ac:dyDescent="0.15">
      <c r="O498" s="3"/>
    </row>
    <row r="499" spans="15:15" ht="13" x14ac:dyDescent="0.15">
      <c r="O499" s="3"/>
    </row>
    <row r="500" spans="15:15" ht="13" x14ac:dyDescent="0.15">
      <c r="O500" s="3"/>
    </row>
    <row r="501" spans="15:15" ht="13" x14ac:dyDescent="0.15">
      <c r="O501" s="3"/>
    </row>
    <row r="502" spans="15:15" ht="13" x14ac:dyDescent="0.15">
      <c r="O502" s="3"/>
    </row>
    <row r="503" spans="15:15" ht="13" x14ac:dyDescent="0.15">
      <c r="O503" s="3"/>
    </row>
    <row r="504" spans="15:15" ht="13" x14ac:dyDescent="0.15">
      <c r="O504" s="3"/>
    </row>
    <row r="505" spans="15:15" ht="13" x14ac:dyDescent="0.15">
      <c r="O505" s="3"/>
    </row>
    <row r="506" spans="15:15" ht="13" x14ac:dyDescent="0.15">
      <c r="O506" s="3"/>
    </row>
    <row r="507" spans="15:15" ht="13" x14ac:dyDescent="0.15">
      <c r="O507" s="3"/>
    </row>
    <row r="508" spans="15:15" ht="13" x14ac:dyDescent="0.15">
      <c r="O508" s="3"/>
    </row>
    <row r="509" spans="15:15" ht="13" x14ac:dyDescent="0.15">
      <c r="O509" s="3"/>
    </row>
    <row r="510" spans="15:15" ht="13" x14ac:dyDescent="0.15">
      <c r="O510" s="3"/>
    </row>
    <row r="511" spans="15:15" ht="13" x14ac:dyDescent="0.15">
      <c r="O511" s="3"/>
    </row>
    <row r="512" spans="15:15" ht="13" x14ac:dyDescent="0.15">
      <c r="O512" s="3"/>
    </row>
    <row r="513" spans="15:15" ht="13" x14ac:dyDescent="0.15">
      <c r="O513" s="3"/>
    </row>
    <row r="514" spans="15:15" ht="13" x14ac:dyDescent="0.15">
      <c r="O514" s="3"/>
    </row>
    <row r="515" spans="15:15" ht="13" x14ac:dyDescent="0.15">
      <c r="O515" s="3"/>
    </row>
    <row r="516" spans="15:15" ht="13" x14ac:dyDescent="0.15">
      <c r="O516" s="3"/>
    </row>
    <row r="517" spans="15:15" ht="13" x14ac:dyDescent="0.15">
      <c r="O517" s="3"/>
    </row>
    <row r="518" spans="15:15" ht="13" x14ac:dyDescent="0.15">
      <c r="O518" s="3"/>
    </row>
    <row r="519" spans="15:15" ht="13" x14ac:dyDescent="0.15">
      <c r="O519" s="3"/>
    </row>
    <row r="520" spans="15:15" ht="13" x14ac:dyDescent="0.15">
      <c r="O520" s="3"/>
    </row>
    <row r="521" spans="15:15" ht="13" x14ac:dyDescent="0.15">
      <c r="O521" s="3"/>
    </row>
    <row r="522" spans="15:15" ht="13" x14ac:dyDescent="0.15">
      <c r="O522" s="3"/>
    </row>
    <row r="523" spans="15:15" ht="13" x14ac:dyDescent="0.15">
      <c r="O523" s="3"/>
    </row>
    <row r="524" spans="15:15" ht="13" x14ac:dyDescent="0.15">
      <c r="O524" s="3"/>
    </row>
    <row r="525" spans="15:15" ht="13" x14ac:dyDescent="0.15">
      <c r="O525" s="3"/>
    </row>
    <row r="526" spans="15:15" ht="13" x14ac:dyDescent="0.15">
      <c r="O526" s="3"/>
    </row>
    <row r="527" spans="15:15" ht="13" x14ac:dyDescent="0.15">
      <c r="O527" s="3"/>
    </row>
    <row r="528" spans="15:15" ht="13" x14ac:dyDescent="0.15">
      <c r="O528" s="3"/>
    </row>
    <row r="529" spans="15:15" ht="13" x14ac:dyDescent="0.15">
      <c r="O529" s="3"/>
    </row>
    <row r="530" spans="15:15" ht="13" x14ac:dyDescent="0.15">
      <c r="O530" s="3"/>
    </row>
    <row r="531" spans="15:15" ht="13" x14ac:dyDescent="0.15">
      <c r="O531" s="3"/>
    </row>
    <row r="532" spans="15:15" ht="13" x14ac:dyDescent="0.15">
      <c r="O532" s="3"/>
    </row>
    <row r="533" spans="15:15" ht="13" x14ac:dyDescent="0.15">
      <c r="O533" s="3"/>
    </row>
    <row r="534" spans="15:15" ht="13" x14ac:dyDescent="0.15">
      <c r="O534" s="3"/>
    </row>
    <row r="535" spans="15:15" ht="13" x14ac:dyDescent="0.15">
      <c r="O535" s="3"/>
    </row>
    <row r="536" spans="15:15" ht="13" x14ac:dyDescent="0.15">
      <c r="O536" s="3"/>
    </row>
    <row r="537" spans="15:15" ht="13" x14ac:dyDescent="0.15">
      <c r="O537" s="3"/>
    </row>
    <row r="538" spans="15:15" ht="13" x14ac:dyDescent="0.15">
      <c r="O538" s="3"/>
    </row>
    <row r="539" spans="15:15" ht="13" x14ac:dyDescent="0.15">
      <c r="O539" s="3"/>
    </row>
    <row r="540" spans="15:15" ht="13" x14ac:dyDescent="0.15">
      <c r="O540" s="3"/>
    </row>
    <row r="541" spans="15:15" ht="13" x14ac:dyDescent="0.15">
      <c r="O541" s="3"/>
    </row>
    <row r="542" spans="15:15" ht="13" x14ac:dyDescent="0.15">
      <c r="O542" s="3"/>
    </row>
    <row r="543" spans="15:15" ht="13" x14ac:dyDescent="0.15">
      <c r="O543" s="3"/>
    </row>
    <row r="544" spans="15:15" ht="13" x14ac:dyDescent="0.15">
      <c r="O544" s="3"/>
    </row>
    <row r="545" spans="15:15" ht="13" x14ac:dyDescent="0.15">
      <c r="O545" s="3"/>
    </row>
    <row r="546" spans="15:15" ht="13" x14ac:dyDescent="0.15">
      <c r="O546" s="3"/>
    </row>
    <row r="547" spans="15:15" ht="13" x14ac:dyDescent="0.15">
      <c r="O547" s="3"/>
    </row>
    <row r="548" spans="15:15" ht="13" x14ac:dyDescent="0.15">
      <c r="O548" s="3"/>
    </row>
    <row r="549" spans="15:15" ht="13" x14ac:dyDescent="0.15">
      <c r="O549" s="3"/>
    </row>
    <row r="550" spans="15:15" ht="13" x14ac:dyDescent="0.15">
      <c r="O550" s="3"/>
    </row>
    <row r="551" spans="15:15" ht="13" x14ac:dyDescent="0.15">
      <c r="O551" s="3"/>
    </row>
    <row r="552" spans="15:15" ht="13" x14ac:dyDescent="0.15">
      <c r="O552" s="3"/>
    </row>
    <row r="553" spans="15:15" ht="13" x14ac:dyDescent="0.15">
      <c r="O553" s="3"/>
    </row>
    <row r="554" spans="15:15" ht="13" x14ac:dyDescent="0.15">
      <c r="O554" s="3"/>
    </row>
    <row r="555" spans="15:15" ht="13" x14ac:dyDescent="0.15">
      <c r="O555" s="3"/>
    </row>
    <row r="556" spans="15:15" ht="13" x14ac:dyDescent="0.15">
      <c r="O556" s="3"/>
    </row>
    <row r="557" spans="15:15" ht="13" x14ac:dyDescent="0.15">
      <c r="O557" s="3"/>
    </row>
    <row r="558" spans="15:15" ht="13" x14ac:dyDescent="0.15">
      <c r="O558" s="3"/>
    </row>
    <row r="559" spans="15:15" ht="13" x14ac:dyDescent="0.15">
      <c r="O559" s="3"/>
    </row>
    <row r="560" spans="15:15" ht="13" x14ac:dyDescent="0.15">
      <c r="O560" s="3"/>
    </row>
    <row r="561" spans="15:15" ht="13" x14ac:dyDescent="0.15">
      <c r="O561" s="3"/>
    </row>
    <row r="562" spans="15:15" ht="13" x14ac:dyDescent="0.15">
      <c r="O562" s="3"/>
    </row>
    <row r="563" spans="15:15" ht="13" x14ac:dyDescent="0.15">
      <c r="O563" s="3"/>
    </row>
    <row r="564" spans="15:15" ht="13" x14ac:dyDescent="0.15">
      <c r="O564" s="3"/>
    </row>
    <row r="565" spans="15:15" ht="13" x14ac:dyDescent="0.15">
      <c r="O565" s="3"/>
    </row>
    <row r="566" spans="15:15" ht="13" x14ac:dyDescent="0.15">
      <c r="O566" s="3"/>
    </row>
    <row r="567" spans="15:15" ht="13" x14ac:dyDescent="0.15">
      <c r="O567" s="3"/>
    </row>
    <row r="568" spans="15:15" ht="13" x14ac:dyDescent="0.15">
      <c r="O568" s="3"/>
    </row>
    <row r="569" spans="15:15" ht="13" x14ac:dyDescent="0.15">
      <c r="O569" s="3"/>
    </row>
    <row r="570" spans="15:15" ht="13" x14ac:dyDescent="0.15">
      <c r="O570" s="3"/>
    </row>
    <row r="571" spans="15:15" ht="13" x14ac:dyDescent="0.15">
      <c r="O571" s="3"/>
    </row>
    <row r="572" spans="15:15" ht="13" x14ac:dyDescent="0.15">
      <c r="O572" s="3"/>
    </row>
    <row r="573" spans="15:15" ht="13" x14ac:dyDescent="0.15">
      <c r="O573" s="3"/>
    </row>
    <row r="574" spans="15:15" ht="13" x14ac:dyDescent="0.15">
      <c r="O574" s="3"/>
    </row>
    <row r="575" spans="15:15" ht="13" x14ac:dyDescent="0.15">
      <c r="O575" s="3"/>
    </row>
    <row r="576" spans="15:15" ht="13" x14ac:dyDescent="0.15">
      <c r="O576" s="3"/>
    </row>
    <row r="577" spans="15:15" ht="13" x14ac:dyDescent="0.15">
      <c r="O577" s="3"/>
    </row>
    <row r="578" spans="15:15" ht="13" x14ac:dyDescent="0.15">
      <c r="O578" s="3"/>
    </row>
    <row r="579" spans="15:15" ht="13" x14ac:dyDescent="0.15">
      <c r="O579" s="3"/>
    </row>
    <row r="580" spans="15:15" ht="13" x14ac:dyDescent="0.15">
      <c r="O580" s="3"/>
    </row>
    <row r="581" spans="15:15" ht="13" x14ac:dyDescent="0.15">
      <c r="O581" s="3"/>
    </row>
    <row r="582" spans="15:15" ht="13" x14ac:dyDescent="0.15">
      <c r="O582" s="3"/>
    </row>
    <row r="583" spans="15:15" ht="13" x14ac:dyDescent="0.15">
      <c r="O583" s="3"/>
    </row>
    <row r="584" spans="15:15" ht="13" x14ac:dyDescent="0.15">
      <c r="O584" s="3"/>
    </row>
    <row r="585" spans="15:15" ht="13" x14ac:dyDescent="0.15">
      <c r="O585" s="3"/>
    </row>
    <row r="586" spans="15:15" ht="13" x14ac:dyDescent="0.15">
      <c r="O586" s="3"/>
    </row>
    <row r="587" spans="15:15" ht="13" x14ac:dyDescent="0.15">
      <c r="O587" s="3"/>
    </row>
    <row r="588" spans="15:15" ht="13" x14ac:dyDescent="0.15">
      <c r="O588" s="3"/>
    </row>
    <row r="589" spans="15:15" ht="13" x14ac:dyDescent="0.15">
      <c r="O589" s="3"/>
    </row>
    <row r="590" spans="15:15" ht="13" x14ac:dyDescent="0.15">
      <c r="O590" s="3"/>
    </row>
    <row r="591" spans="15:15" ht="13" x14ac:dyDescent="0.15">
      <c r="O591" s="3"/>
    </row>
    <row r="592" spans="15:15" ht="13" x14ac:dyDescent="0.15">
      <c r="O592" s="3"/>
    </row>
    <row r="593" spans="15:15" ht="13" x14ac:dyDescent="0.15">
      <c r="O593" s="3"/>
    </row>
    <row r="594" spans="15:15" ht="13" x14ac:dyDescent="0.15">
      <c r="O594" s="3"/>
    </row>
    <row r="595" spans="15:15" ht="13" x14ac:dyDescent="0.15">
      <c r="O595" s="3"/>
    </row>
    <row r="596" spans="15:15" ht="13" x14ac:dyDescent="0.15">
      <c r="O596" s="3"/>
    </row>
    <row r="597" spans="15:15" ht="13" x14ac:dyDescent="0.15">
      <c r="O597" s="3"/>
    </row>
    <row r="598" spans="15:15" ht="13" x14ac:dyDescent="0.15">
      <c r="O598" s="3"/>
    </row>
    <row r="599" spans="15:15" ht="13" x14ac:dyDescent="0.15">
      <c r="O599" s="3"/>
    </row>
    <row r="600" spans="15:15" ht="13" x14ac:dyDescent="0.15">
      <c r="O600" s="3"/>
    </row>
    <row r="601" spans="15:15" ht="13" x14ac:dyDescent="0.15">
      <c r="O601" s="3"/>
    </row>
    <row r="602" spans="15:15" ht="13" x14ac:dyDescent="0.15">
      <c r="O602" s="3"/>
    </row>
    <row r="603" spans="15:15" ht="13" x14ac:dyDescent="0.15">
      <c r="O603" s="3"/>
    </row>
    <row r="604" spans="15:15" ht="13" x14ac:dyDescent="0.15">
      <c r="O604" s="3"/>
    </row>
    <row r="605" spans="15:15" ht="13" x14ac:dyDescent="0.15">
      <c r="O605" s="3"/>
    </row>
    <row r="606" spans="15:15" ht="13" x14ac:dyDescent="0.15">
      <c r="O606" s="3"/>
    </row>
    <row r="607" spans="15:15" ht="13" x14ac:dyDescent="0.15">
      <c r="O607" s="3"/>
    </row>
    <row r="608" spans="15:15" ht="13" x14ac:dyDescent="0.15">
      <c r="O608" s="3"/>
    </row>
    <row r="609" spans="15:15" ht="13" x14ac:dyDescent="0.15">
      <c r="O609" s="3"/>
    </row>
    <row r="610" spans="15:15" ht="13" x14ac:dyDescent="0.15">
      <c r="O610" s="3"/>
    </row>
    <row r="611" spans="15:15" ht="13" x14ac:dyDescent="0.15">
      <c r="O611" s="3"/>
    </row>
    <row r="612" spans="15:15" ht="13" x14ac:dyDescent="0.15">
      <c r="O612" s="3"/>
    </row>
    <row r="613" spans="15:15" ht="13" x14ac:dyDescent="0.15">
      <c r="O613" s="3"/>
    </row>
    <row r="614" spans="15:15" ht="13" x14ac:dyDescent="0.15">
      <c r="O614" s="3"/>
    </row>
    <row r="615" spans="15:15" ht="13" x14ac:dyDescent="0.15">
      <c r="O615" s="3"/>
    </row>
    <row r="616" spans="15:15" ht="13" x14ac:dyDescent="0.15">
      <c r="O616" s="3"/>
    </row>
    <row r="617" spans="15:15" ht="13" x14ac:dyDescent="0.15">
      <c r="O617" s="3"/>
    </row>
    <row r="618" spans="15:15" ht="13" x14ac:dyDescent="0.15">
      <c r="O618" s="3"/>
    </row>
    <row r="619" spans="15:15" ht="13" x14ac:dyDescent="0.15">
      <c r="O619" s="3"/>
    </row>
    <row r="620" spans="15:15" ht="13" x14ac:dyDescent="0.15">
      <c r="O620" s="3"/>
    </row>
    <row r="621" spans="15:15" ht="13" x14ac:dyDescent="0.15">
      <c r="O621" s="3"/>
    </row>
    <row r="622" spans="15:15" ht="13" x14ac:dyDescent="0.15">
      <c r="O622" s="3"/>
    </row>
    <row r="623" spans="15:15" ht="13" x14ac:dyDescent="0.15">
      <c r="O623" s="3"/>
    </row>
    <row r="624" spans="15:15" ht="13" x14ac:dyDescent="0.15">
      <c r="O624" s="3"/>
    </row>
    <row r="625" spans="15:15" ht="13" x14ac:dyDescent="0.15">
      <c r="O625" s="3"/>
    </row>
    <row r="626" spans="15:15" ht="13" x14ac:dyDescent="0.15">
      <c r="O626" s="3"/>
    </row>
    <row r="627" spans="15:15" ht="13" x14ac:dyDescent="0.15">
      <c r="O627" s="3"/>
    </row>
    <row r="628" spans="15:15" ht="13" x14ac:dyDescent="0.15">
      <c r="O628" s="3"/>
    </row>
    <row r="629" spans="15:15" ht="13" x14ac:dyDescent="0.15">
      <c r="O629" s="3"/>
    </row>
    <row r="630" spans="15:15" ht="13" x14ac:dyDescent="0.15">
      <c r="O630" s="3"/>
    </row>
    <row r="631" spans="15:15" ht="13" x14ac:dyDescent="0.15">
      <c r="O631" s="3"/>
    </row>
    <row r="632" spans="15:15" ht="13" x14ac:dyDescent="0.15">
      <c r="O632" s="3"/>
    </row>
    <row r="633" spans="15:15" ht="13" x14ac:dyDescent="0.15">
      <c r="O633" s="3"/>
    </row>
    <row r="634" spans="15:15" ht="13" x14ac:dyDescent="0.15">
      <c r="O634" s="3"/>
    </row>
    <row r="635" spans="15:15" ht="13" x14ac:dyDescent="0.15">
      <c r="O635" s="3"/>
    </row>
    <row r="636" spans="15:15" ht="13" x14ac:dyDescent="0.15">
      <c r="O636" s="3"/>
    </row>
    <row r="637" spans="15:15" ht="13" x14ac:dyDescent="0.15">
      <c r="O637" s="3"/>
    </row>
    <row r="638" spans="15:15" ht="13" x14ac:dyDescent="0.15">
      <c r="O638" s="3"/>
    </row>
    <row r="639" spans="15:15" ht="13" x14ac:dyDescent="0.15">
      <c r="O639" s="3"/>
    </row>
    <row r="640" spans="15:15" ht="13" x14ac:dyDescent="0.15">
      <c r="O640" s="3"/>
    </row>
    <row r="641" spans="15:15" ht="13" x14ac:dyDescent="0.15">
      <c r="O641" s="3"/>
    </row>
    <row r="642" spans="15:15" ht="13" x14ac:dyDescent="0.15">
      <c r="O642" s="3"/>
    </row>
    <row r="643" spans="15:15" ht="13" x14ac:dyDescent="0.15">
      <c r="O643" s="3"/>
    </row>
    <row r="644" spans="15:15" ht="13" x14ac:dyDescent="0.15">
      <c r="O644" s="3"/>
    </row>
    <row r="645" spans="15:15" ht="13" x14ac:dyDescent="0.15">
      <c r="O645" s="3"/>
    </row>
    <row r="646" spans="15:15" ht="13" x14ac:dyDescent="0.15">
      <c r="O646" s="3"/>
    </row>
    <row r="647" spans="15:15" ht="13" x14ac:dyDescent="0.15">
      <c r="O647" s="3"/>
    </row>
    <row r="648" spans="15:15" ht="13" x14ac:dyDescent="0.15">
      <c r="O648" s="3"/>
    </row>
    <row r="649" spans="15:15" ht="13" x14ac:dyDescent="0.15">
      <c r="O649" s="3"/>
    </row>
    <row r="650" spans="15:15" ht="13" x14ac:dyDescent="0.15">
      <c r="O650" s="3"/>
    </row>
    <row r="651" spans="15:15" ht="13" x14ac:dyDescent="0.15">
      <c r="O651" s="3"/>
    </row>
    <row r="652" spans="15:15" ht="13" x14ac:dyDescent="0.15">
      <c r="O652" s="3"/>
    </row>
    <row r="653" spans="15:15" ht="13" x14ac:dyDescent="0.15">
      <c r="O653" s="3"/>
    </row>
    <row r="654" spans="15:15" ht="13" x14ac:dyDescent="0.15">
      <c r="O654" s="3"/>
    </row>
    <row r="655" spans="15:15" ht="13" x14ac:dyDescent="0.15">
      <c r="O655" s="3"/>
    </row>
    <row r="656" spans="15:15" ht="13" x14ac:dyDescent="0.15">
      <c r="O656" s="3"/>
    </row>
    <row r="657" spans="15:15" ht="13" x14ac:dyDescent="0.15">
      <c r="O657" s="3"/>
    </row>
    <row r="658" spans="15:15" ht="13" x14ac:dyDescent="0.15">
      <c r="O658" s="3"/>
    </row>
    <row r="659" spans="15:15" ht="13" x14ac:dyDescent="0.15">
      <c r="O659" s="3"/>
    </row>
    <row r="660" spans="15:15" ht="13" x14ac:dyDescent="0.15">
      <c r="O660" s="3"/>
    </row>
    <row r="661" spans="15:15" ht="13" x14ac:dyDescent="0.15">
      <c r="O661" s="3"/>
    </row>
    <row r="662" spans="15:15" ht="13" x14ac:dyDescent="0.15">
      <c r="O662" s="3"/>
    </row>
    <row r="663" spans="15:15" ht="13" x14ac:dyDescent="0.15">
      <c r="O663" s="3"/>
    </row>
    <row r="664" spans="15:15" ht="13" x14ac:dyDescent="0.15">
      <c r="O664" s="3"/>
    </row>
    <row r="665" spans="15:15" ht="13" x14ac:dyDescent="0.15">
      <c r="O665" s="3"/>
    </row>
    <row r="666" spans="15:15" ht="13" x14ac:dyDescent="0.15">
      <c r="O666" s="3"/>
    </row>
    <row r="667" spans="15:15" ht="13" x14ac:dyDescent="0.15">
      <c r="O667" s="3"/>
    </row>
    <row r="668" spans="15:15" ht="13" x14ac:dyDescent="0.15">
      <c r="O668" s="3"/>
    </row>
    <row r="669" spans="15:15" ht="13" x14ac:dyDescent="0.15">
      <c r="O669" s="3"/>
    </row>
    <row r="670" spans="15:15" ht="13" x14ac:dyDescent="0.15">
      <c r="O670" s="3"/>
    </row>
    <row r="671" spans="15:15" ht="13" x14ac:dyDescent="0.15">
      <c r="O671" s="3"/>
    </row>
    <row r="672" spans="15:15" ht="13" x14ac:dyDescent="0.15">
      <c r="O672" s="3"/>
    </row>
    <row r="673" spans="15:15" ht="13" x14ac:dyDescent="0.15">
      <c r="O673" s="3"/>
    </row>
    <row r="674" spans="15:15" ht="13" x14ac:dyDescent="0.15">
      <c r="O674" s="3"/>
    </row>
    <row r="675" spans="15:15" ht="13" x14ac:dyDescent="0.15">
      <c r="O675" s="3"/>
    </row>
    <row r="676" spans="15:15" ht="13" x14ac:dyDescent="0.15">
      <c r="O676" s="3"/>
    </row>
    <row r="677" spans="15:15" ht="13" x14ac:dyDescent="0.15">
      <c r="O677" s="3"/>
    </row>
    <row r="678" spans="15:15" ht="13" x14ac:dyDescent="0.15">
      <c r="O678" s="3"/>
    </row>
    <row r="679" spans="15:15" ht="13" x14ac:dyDescent="0.15">
      <c r="O679" s="3"/>
    </row>
    <row r="680" spans="15:15" ht="13" x14ac:dyDescent="0.15">
      <c r="O680" s="3"/>
    </row>
    <row r="681" spans="15:15" ht="13" x14ac:dyDescent="0.15">
      <c r="O681" s="3"/>
    </row>
    <row r="682" spans="15:15" ht="13" x14ac:dyDescent="0.15">
      <c r="O682" s="3"/>
    </row>
    <row r="683" spans="15:15" ht="13" x14ac:dyDescent="0.15">
      <c r="O683" s="3"/>
    </row>
    <row r="684" spans="15:15" ht="13" x14ac:dyDescent="0.15">
      <c r="O684" s="3"/>
    </row>
    <row r="685" spans="15:15" ht="13" x14ac:dyDescent="0.15">
      <c r="O685" s="3"/>
    </row>
    <row r="686" spans="15:15" ht="13" x14ac:dyDescent="0.15">
      <c r="O686" s="3"/>
    </row>
    <row r="687" spans="15:15" ht="13" x14ac:dyDescent="0.15">
      <c r="O687" s="3"/>
    </row>
    <row r="688" spans="15:15" ht="13" x14ac:dyDescent="0.15">
      <c r="O688" s="3"/>
    </row>
    <row r="689" spans="15:15" ht="13" x14ac:dyDescent="0.15">
      <c r="O689" s="3"/>
    </row>
    <row r="690" spans="15:15" ht="13" x14ac:dyDescent="0.15">
      <c r="O690" s="3"/>
    </row>
    <row r="691" spans="15:15" ht="13" x14ac:dyDescent="0.15">
      <c r="O691" s="3"/>
    </row>
    <row r="692" spans="15:15" ht="13" x14ac:dyDescent="0.15">
      <c r="O692" s="3"/>
    </row>
    <row r="693" spans="15:15" ht="13" x14ac:dyDescent="0.15">
      <c r="O693" s="3"/>
    </row>
    <row r="694" spans="15:15" ht="13" x14ac:dyDescent="0.15">
      <c r="O694" s="3"/>
    </row>
    <row r="695" spans="15:15" ht="13" x14ac:dyDescent="0.15">
      <c r="O695" s="3"/>
    </row>
    <row r="696" spans="15:15" ht="13" x14ac:dyDescent="0.15">
      <c r="O696" s="3"/>
    </row>
    <row r="697" spans="15:15" ht="13" x14ac:dyDescent="0.15">
      <c r="O697" s="3"/>
    </row>
    <row r="698" spans="15:15" ht="13" x14ac:dyDescent="0.15">
      <c r="O698" s="3"/>
    </row>
    <row r="699" spans="15:15" ht="13" x14ac:dyDescent="0.15">
      <c r="O699" s="3"/>
    </row>
    <row r="700" spans="15:15" ht="13" x14ac:dyDescent="0.15">
      <c r="O700" s="3"/>
    </row>
    <row r="701" spans="15:15" ht="13" x14ac:dyDescent="0.15">
      <c r="O701" s="3"/>
    </row>
    <row r="702" spans="15:15" ht="13" x14ac:dyDescent="0.15">
      <c r="O702" s="3"/>
    </row>
    <row r="703" spans="15:15" ht="13" x14ac:dyDescent="0.15">
      <c r="O703" s="3"/>
    </row>
    <row r="704" spans="15:15" ht="13" x14ac:dyDescent="0.15">
      <c r="O704" s="3"/>
    </row>
    <row r="705" spans="15:15" ht="13" x14ac:dyDescent="0.15">
      <c r="O705" s="3"/>
    </row>
    <row r="706" spans="15:15" ht="13" x14ac:dyDescent="0.15">
      <c r="O706" s="3"/>
    </row>
    <row r="707" spans="15:15" ht="13" x14ac:dyDescent="0.15">
      <c r="O707" s="3"/>
    </row>
    <row r="708" spans="15:15" ht="13" x14ac:dyDescent="0.15">
      <c r="O708" s="3"/>
    </row>
    <row r="709" spans="15:15" ht="13" x14ac:dyDescent="0.15">
      <c r="O709" s="3"/>
    </row>
    <row r="710" spans="15:15" ht="13" x14ac:dyDescent="0.15">
      <c r="O710" s="3"/>
    </row>
    <row r="711" spans="15:15" ht="13" x14ac:dyDescent="0.15">
      <c r="O711" s="3"/>
    </row>
    <row r="712" spans="15:15" ht="13" x14ac:dyDescent="0.15">
      <c r="O712" s="3"/>
    </row>
    <row r="713" spans="15:15" ht="13" x14ac:dyDescent="0.15">
      <c r="O713" s="3"/>
    </row>
    <row r="714" spans="15:15" ht="13" x14ac:dyDescent="0.15">
      <c r="O714" s="3"/>
    </row>
    <row r="715" spans="15:15" ht="13" x14ac:dyDescent="0.15">
      <c r="O715" s="3"/>
    </row>
    <row r="716" spans="15:15" ht="13" x14ac:dyDescent="0.15">
      <c r="O716" s="3"/>
    </row>
    <row r="717" spans="15:15" ht="13" x14ac:dyDescent="0.15">
      <c r="O717" s="3"/>
    </row>
    <row r="718" spans="15:15" ht="13" x14ac:dyDescent="0.15">
      <c r="O718" s="3"/>
    </row>
    <row r="719" spans="15:15" ht="13" x14ac:dyDescent="0.15">
      <c r="O719" s="3"/>
    </row>
    <row r="720" spans="15:15" ht="13" x14ac:dyDescent="0.15">
      <c r="O720" s="3"/>
    </row>
    <row r="721" spans="15:15" ht="13" x14ac:dyDescent="0.15">
      <c r="O721" s="3"/>
    </row>
    <row r="722" spans="15:15" ht="13" x14ac:dyDescent="0.15">
      <c r="O722" s="3"/>
    </row>
    <row r="723" spans="15:15" ht="13" x14ac:dyDescent="0.15">
      <c r="O723" s="3"/>
    </row>
    <row r="724" spans="15:15" ht="13" x14ac:dyDescent="0.15">
      <c r="O724" s="3"/>
    </row>
    <row r="725" spans="15:15" ht="13" x14ac:dyDescent="0.15">
      <c r="O725" s="3"/>
    </row>
    <row r="726" spans="15:15" ht="13" x14ac:dyDescent="0.15">
      <c r="O726" s="3"/>
    </row>
    <row r="727" spans="15:15" ht="13" x14ac:dyDescent="0.15">
      <c r="O727" s="3"/>
    </row>
    <row r="728" spans="15:15" ht="13" x14ac:dyDescent="0.15">
      <c r="O728" s="3"/>
    </row>
    <row r="729" spans="15:15" ht="13" x14ac:dyDescent="0.15">
      <c r="O729" s="3"/>
    </row>
    <row r="730" spans="15:15" ht="13" x14ac:dyDescent="0.15">
      <c r="O730" s="3"/>
    </row>
    <row r="731" spans="15:15" ht="13" x14ac:dyDescent="0.15">
      <c r="O731" s="3"/>
    </row>
    <row r="732" spans="15:15" ht="13" x14ac:dyDescent="0.15">
      <c r="O732" s="3"/>
    </row>
    <row r="733" spans="15:15" ht="13" x14ac:dyDescent="0.15">
      <c r="O733" s="3"/>
    </row>
    <row r="734" spans="15:15" ht="13" x14ac:dyDescent="0.15">
      <c r="O734" s="3"/>
    </row>
    <row r="735" spans="15:15" ht="13" x14ac:dyDescent="0.15">
      <c r="O735" s="3"/>
    </row>
    <row r="736" spans="15:15" ht="13" x14ac:dyDescent="0.15">
      <c r="O736" s="3"/>
    </row>
    <row r="737" spans="15:15" ht="13" x14ac:dyDescent="0.15">
      <c r="O737" s="3"/>
    </row>
    <row r="738" spans="15:15" ht="13" x14ac:dyDescent="0.15">
      <c r="O738" s="3"/>
    </row>
    <row r="739" spans="15:15" ht="13" x14ac:dyDescent="0.15">
      <c r="O739" s="3"/>
    </row>
    <row r="740" spans="15:15" ht="13" x14ac:dyDescent="0.15">
      <c r="O740" s="3"/>
    </row>
    <row r="741" spans="15:15" ht="13" x14ac:dyDescent="0.15">
      <c r="O741" s="3"/>
    </row>
    <row r="742" spans="15:15" ht="13" x14ac:dyDescent="0.15">
      <c r="O742" s="3"/>
    </row>
    <row r="743" spans="15:15" ht="13" x14ac:dyDescent="0.15">
      <c r="O743" s="3"/>
    </row>
    <row r="744" spans="15:15" ht="13" x14ac:dyDescent="0.15">
      <c r="O744" s="3"/>
    </row>
    <row r="745" spans="15:15" ht="13" x14ac:dyDescent="0.15">
      <c r="O745" s="3"/>
    </row>
    <row r="746" spans="15:15" ht="13" x14ac:dyDescent="0.15">
      <c r="O746" s="3"/>
    </row>
    <row r="747" spans="15:15" ht="13" x14ac:dyDescent="0.15">
      <c r="O747" s="3"/>
    </row>
    <row r="748" spans="15:15" ht="13" x14ac:dyDescent="0.15">
      <c r="O748" s="3"/>
    </row>
    <row r="749" spans="15:15" ht="13" x14ac:dyDescent="0.15">
      <c r="O749" s="3"/>
    </row>
    <row r="750" spans="15:15" ht="13" x14ac:dyDescent="0.15">
      <c r="O750" s="3"/>
    </row>
    <row r="751" spans="15:15" ht="13" x14ac:dyDescent="0.15">
      <c r="O751" s="3"/>
    </row>
    <row r="752" spans="15:15" ht="13" x14ac:dyDescent="0.15">
      <c r="O752" s="3"/>
    </row>
    <row r="753" spans="15:15" ht="13" x14ac:dyDescent="0.15">
      <c r="O753" s="3"/>
    </row>
    <row r="754" spans="15:15" ht="13" x14ac:dyDescent="0.15">
      <c r="O754" s="3"/>
    </row>
    <row r="755" spans="15:15" ht="13" x14ac:dyDescent="0.15">
      <c r="O755" s="3"/>
    </row>
    <row r="756" spans="15:15" ht="13" x14ac:dyDescent="0.15">
      <c r="O756" s="3"/>
    </row>
    <row r="757" spans="15:15" ht="13" x14ac:dyDescent="0.15">
      <c r="O757" s="3"/>
    </row>
    <row r="758" spans="15:15" ht="13" x14ac:dyDescent="0.15">
      <c r="O758" s="3"/>
    </row>
    <row r="759" spans="15:15" ht="13" x14ac:dyDescent="0.15">
      <c r="O759" s="3"/>
    </row>
    <row r="760" spans="15:15" ht="13" x14ac:dyDescent="0.15">
      <c r="O760" s="3"/>
    </row>
    <row r="761" spans="15:15" ht="13" x14ac:dyDescent="0.15">
      <c r="O761" s="3"/>
    </row>
    <row r="762" spans="15:15" ht="13" x14ac:dyDescent="0.15">
      <c r="O762" s="3"/>
    </row>
    <row r="763" spans="15:15" ht="13" x14ac:dyDescent="0.15">
      <c r="O763" s="3"/>
    </row>
    <row r="764" spans="15:15" ht="13" x14ac:dyDescent="0.15">
      <c r="O764" s="3"/>
    </row>
    <row r="765" spans="15:15" ht="13" x14ac:dyDescent="0.15">
      <c r="O765" s="3"/>
    </row>
    <row r="766" spans="15:15" ht="13" x14ac:dyDescent="0.15">
      <c r="O766" s="3"/>
    </row>
    <row r="767" spans="15:15" ht="13" x14ac:dyDescent="0.15">
      <c r="O767" s="3"/>
    </row>
    <row r="768" spans="15:15" ht="13" x14ac:dyDescent="0.15">
      <c r="O768" s="3"/>
    </row>
    <row r="769" spans="15:15" ht="13" x14ac:dyDescent="0.15">
      <c r="O769" s="3"/>
    </row>
    <row r="770" spans="15:15" ht="13" x14ac:dyDescent="0.15">
      <c r="O770" s="3"/>
    </row>
    <row r="771" spans="15:15" ht="13" x14ac:dyDescent="0.15">
      <c r="O771" s="3"/>
    </row>
    <row r="772" spans="15:15" ht="13" x14ac:dyDescent="0.15">
      <c r="O772" s="3"/>
    </row>
    <row r="773" spans="15:15" ht="13" x14ac:dyDescent="0.15">
      <c r="O773" s="3"/>
    </row>
    <row r="774" spans="15:15" ht="13" x14ac:dyDescent="0.15">
      <c r="O774" s="3"/>
    </row>
    <row r="775" spans="15:15" ht="13" x14ac:dyDescent="0.15">
      <c r="O775" s="3"/>
    </row>
    <row r="776" spans="15:15" ht="13" x14ac:dyDescent="0.15">
      <c r="O776" s="3"/>
    </row>
    <row r="777" spans="15:15" ht="13" x14ac:dyDescent="0.15">
      <c r="O777" s="3"/>
    </row>
    <row r="778" spans="15:15" ht="13" x14ac:dyDescent="0.15">
      <c r="O778" s="3"/>
    </row>
    <row r="779" spans="15:15" ht="13" x14ac:dyDescent="0.15">
      <c r="O779" s="3"/>
    </row>
    <row r="780" spans="15:15" ht="13" x14ac:dyDescent="0.15">
      <c r="O780" s="3"/>
    </row>
    <row r="781" spans="15:15" ht="13" x14ac:dyDescent="0.15">
      <c r="O781" s="3"/>
    </row>
    <row r="782" spans="15:15" ht="13" x14ac:dyDescent="0.15">
      <c r="O782" s="3"/>
    </row>
    <row r="783" spans="15:15" ht="13" x14ac:dyDescent="0.15">
      <c r="O783" s="3"/>
    </row>
    <row r="784" spans="15:15" ht="13" x14ac:dyDescent="0.15">
      <c r="O784" s="3"/>
    </row>
    <row r="785" spans="15:15" ht="13" x14ac:dyDescent="0.15">
      <c r="O785" s="3"/>
    </row>
    <row r="786" spans="15:15" ht="13" x14ac:dyDescent="0.15">
      <c r="O786" s="3"/>
    </row>
    <row r="787" spans="15:15" ht="13" x14ac:dyDescent="0.15">
      <c r="O787" s="3"/>
    </row>
    <row r="788" spans="15:15" ht="13" x14ac:dyDescent="0.15">
      <c r="O788" s="3"/>
    </row>
    <row r="789" spans="15:15" ht="13" x14ac:dyDescent="0.15">
      <c r="O789" s="3"/>
    </row>
    <row r="790" spans="15:15" ht="13" x14ac:dyDescent="0.15">
      <c r="O790" s="3"/>
    </row>
    <row r="791" spans="15:15" ht="13" x14ac:dyDescent="0.15">
      <c r="O791" s="3"/>
    </row>
    <row r="792" spans="15:15" ht="13" x14ac:dyDescent="0.15">
      <c r="O792" s="3"/>
    </row>
    <row r="793" spans="15:15" ht="13" x14ac:dyDescent="0.15">
      <c r="O793" s="3"/>
    </row>
    <row r="794" spans="15:15" ht="13" x14ac:dyDescent="0.15">
      <c r="O794" s="3"/>
    </row>
    <row r="795" spans="15:15" ht="13" x14ac:dyDescent="0.15">
      <c r="O795" s="3"/>
    </row>
    <row r="796" spans="15:15" ht="13" x14ac:dyDescent="0.15">
      <c r="O796" s="3"/>
    </row>
    <row r="797" spans="15:15" ht="13" x14ac:dyDescent="0.15">
      <c r="O797" s="3"/>
    </row>
    <row r="798" spans="15:15" ht="13" x14ac:dyDescent="0.15">
      <c r="O798" s="3"/>
    </row>
    <row r="799" spans="15:15" ht="13" x14ac:dyDescent="0.15">
      <c r="O799" s="3"/>
    </row>
    <row r="800" spans="15:15" ht="13" x14ac:dyDescent="0.15">
      <c r="O800" s="3"/>
    </row>
    <row r="801" spans="15:15" ht="13" x14ac:dyDescent="0.15">
      <c r="O801" s="3"/>
    </row>
    <row r="802" spans="15:15" ht="13" x14ac:dyDescent="0.15">
      <c r="O802" s="3"/>
    </row>
    <row r="803" spans="15:15" ht="13" x14ac:dyDescent="0.15">
      <c r="O803" s="3"/>
    </row>
    <row r="804" spans="15:15" ht="13" x14ac:dyDescent="0.15">
      <c r="O804" s="3"/>
    </row>
    <row r="805" spans="15:15" ht="13" x14ac:dyDescent="0.15">
      <c r="O805" s="3"/>
    </row>
    <row r="806" spans="15:15" ht="13" x14ac:dyDescent="0.15">
      <c r="O806" s="3"/>
    </row>
    <row r="807" spans="15:15" ht="13" x14ac:dyDescent="0.15">
      <c r="O807" s="3"/>
    </row>
    <row r="808" spans="15:15" ht="13" x14ac:dyDescent="0.15">
      <c r="O808" s="3"/>
    </row>
    <row r="809" spans="15:15" ht="13" x14ac:dyDescent="0.15">
      <c r="O809" s="3"/>
    </row>
    <row r="810" spans="15:15" ht="13" x14ac:dyDescent="0.15">
      <c r="O810" s="3"/>
    </row>
    <row r="811" spans="15:15" ht="13" x14ac:dyDescent="0.15">
      <c r="O811" s="3"/>
    </row>
    <row r="812" spans="15:15" ht="13" x14ac:dyDescent="0.15">
      <c r="O812" s="3"/>
    </row>
    <row r="813" spans="15:15" ht="13" x14ac:dyDescent="0.15">
      <c r="O813" s="3"/>
    </row>
    <row r="814" spans="15:15" ht="13" x14ac:dyDescent="0.15">
      <c r="O814" s="3"/>
    </row>
    <row r="815" spans="15:15" ht="13" x14ac:dyDescent="0.15">
      <c r="O815" s="3"/>
    </row>
    <row r="816" spans="15:15" ht="13" x14ac:dyDescent="0.15">
      <c r="O816" s="3"/>
    </row>
    <row r="817" spans="15:15" ht="13" x14ac:dyDescent="0.15">
      <c r="O817" s="3"/>
    </row>
    <row r="818" spans="15:15" ht="13" x14ac:dyDescent="0.15">
      <c r="O818" s="3"/>
    </row>
    <row r="819" spans="15:15" ht="13" x14ac:dyDescent="0.15">
      <c r="O819" s="3"/>
    </row>
    <row r="820" spans="15:15" ht="13" x14ac:dyDescent="0.15">
      <c r="O820" s="3"/>
    </row>
    <row r="821" spans="15:15" ht="13" x14ac:dyDescent="0.15">
      <c r="O821" s="3"/>
    </row>
    <row r="822" spans="15:15" ht="13" x14ac:dyDescent="0.15">
      <c r="O822" s="3"/>
    </row>
    <row r="823" spans="15:15" ht="13" x14ac:dyDescent="0.15">
      <c r="O823" s="3"/>
    </row>
    <row r="824" spans="15:15" ht="13" x14ac:dyDescent="0.15">
      <c r="O824" s="3"/>
    </row>
    <row r="825" spans="15:15" ht="13" x14ac:dyDescent="0.15">
      <c r="O825" s="3"/>
    </row>
    <row r="826" spans="15:15" ht="13" x14ac:dyDescent="0.15">
      <c r="O826" s="3"/>
    </row>
    <row r="827" spans="15:15" ht="13" x14ac:dyDescent="0.15">
      <c r="O827" s="3"/>
    </row>
    <row r="828" spans="15:15" ht="13" x14ac:dyDescent="0.15">
      <c r="O828" s="3"/>
    </row>
    <row r="829" spans="15:15" ht="13" x14ac:dyDescent="0.15">
      <c r="O829" s="3"/>
    </row>
    <row r="830" spans="15:15" ht="13" x14ac:dyDescent="0.15">
      <c r="O830" s="3"/>
    </row>
    <row r="831" spans="15:15" ht="13" x14ac:dyDescent="0.15">
      <c r="O831" s="3"/>
    </row>
    <row r="832" spans="15:15" ht="13" x14ac:dyDescent="0.15">
      <c r="O832" s="3"/>
    </row>
    <row r="833" spans="15:15" ht="13" x14ac:dyDescent="0.15">
      <c r="O833" s="3"/>
    </row>
    <row r="834" spans="15:15" ht="13" x14ac:dyDescent="0.15">
      <c r="O834" s="3"/>
    </row>
    <row r="835" spans="15:15" ht="13" x14ac:dyDescent="0.15">
      <c r="O835" s="3"/>
    </row>
    <row r="836" spans="15:15" ht="13" x14ac:dyDescent="0.15">
      <c r="O836" s="3"/>
    </row>
    <row r="837" spans="15:15" ht="13" x14ac:dyDescent="0.15">
      <c r="O837" s="3"/>
    </row>
    <row r="838" spans="15:15" ht="13" x14ac:dyDescent="0.15">
      <c r="O838" s="3"/>
    </row>
    <row r="839" spans="15:15" ht="13" x14ac:dyDescent="0.15">
      <c r="O839" s="3"/>
    </row>
    <row r="840" spans="15:15" ht="13" x14ac:dyDescent="0.15">
      <c r="O840" s="3"/>
    </row>
    <row r="841" spans="15:15" ht="13" x14ac:dyDescent="0.15">
      <c r="O841" s="3"/>
    </row>
    <row r="842" spans="15:15" ht="13" x14ac:dyDescent="0.15">
      <c r="O842" s="3"/>
    </row>
    <row r="843" spans="15:15" ht="13" x14ac:dyDescent="0.15">
      <c r="O843" s="3"/>
    </row>
    <row r="844" spans="15:15" ht="13" x14ac:dyDescent="0.15">
      <c r="O844" s="3"/>
    </row>
    <row r="845" spans="15:15" ht="13" x14ac:dyDescent="0.15">
      <c r="O845" s="3"/>
    </row>
    <row r="846" spans="15:15" ht="13" x14ac:dyDescent="0.15">
      <c r="O846" s="3"/>
    </row>
    <row r="847" spans="15:15" ht="13" x14ac:dyDescent="0.15">
      <c r="O847" s="3"/>
    </row>
    <row r="848" spans="15:15" ht="13" x14ac:dyDescent="0.15">
      <c r="O848" s="3"/>
    </row>
    <row r="849" spans="15:15" ht="13" x14ac:dyDescent="0.15">
      <c r="O849" s="3"/>
    </row>
    <row r="850" spans="15:15" ht="13" x14ac:dyDescent="0.15">
      <c r="O850" s="3"/>
    </row>
    <row r="851" spans="15:15" ht="13" x14ac:dyDescent="0.15">
      <c r="O851" s="3"/>
    </row>
    <row r="852" spans="15:15" ht="13" x14ac:dyDescent="0.15">
      <c r="O852" s="3"/>
    </row>
    <row r="853" spans="15:15" ht="13" x14ac:dyDescent="0.15">
      <c r="O853" s="3"/>
    </row>
    <row r="854" spans="15:15" ht="13" x14ac:dyDescent="0.15">
      <c r="O854" s="3"/>
    </row>
    <row r="855" spans="15:15" ht="13" x14ac:dyDescent="0.15">
      <c r="O855" s="3"/>
    </row>
    <row r="856" spans="15:15" ht="13" x14ac:dyDescent="0.15">
      <c r="O856" s="3"/>
    </row>
    <row r="857" spans="15:15" ht="13" x14ac:dyDescent="0.15">
      <c r="O857" s="3"/>
    </row>
    <row r="858" spans="15:15" ht="13" x14ac:dyDescent="0.15">
      <c r="O858" s="3"/>
    </row>
    <row r="859" spans="15:15" ht="13" x14ac:dyDescent="0.15">
      <c r="O859" s="3"/>
    </row>
    <row r="860" spans="15:15" ht="13" x14ac:dyDescent="0.15">
      <c r="O860" s="3"/>
    </row>
    <row r="861" spans="15:15" ht="13" x14ac:dyDescent="0.15">
      <c r="O861" s="3"/>
    </row>
    <row r="862" spans="15:15" ht="13" x14ac:dyDescent="0.15">
      <c r="O862" s="3"/>
    </row>
    <row r="863" spans="15:15" ht="13" x14ac:dyDescent="0.15">
      <c r="O863" s="3"/>
    </row>
    <row r="864" spans="15:15" ht="13" x14ac:dyDescent="0.15">
      <c r="O864" s="3"/>
    </row>
    <row r="865" spans="15:15" ht="13" x14ac:dyDescent="0.15">
      <c r="O865" s="3"/>
    </row>
    <row r="866" spans="15:15" ht="13" x14ac:dyDescent="0.15">
      <c r="O866" s="3"/>
    </row>
    <row r="867" spans="15:15" ht="13" x14ac:dyDescent="0.15">
      <c r="O867" s="3"/>
    </row>
    <row r="868" spans="15:15" ht="13" x14ac:dyDescent="0.15">
      <c r="O868" s="3"/>
    </row>
    <row r="869" spans="15:15" ht="13" x14ac:dyDescent="0.15">
      <c r="O869" s="3"/>
    </row>
    <row r="870" spans="15:15" ht="13" x14ac:dyDescent="0.15">
      <c r="O870" s="3"/>
    </row>
    <row r="871" spans="15:15" ht="13" x14ac:dyDescent="0.15">
      <c r="O871" s="3"/>
    </row>
    <row r="872" spans="15:15" ht="13" x14ac:dyDescent="0.15">
      <c r="O872" s="3"/>
    </row>
    <row r="873" spans="15:15" ht="13" x14ac:dyDescent="0.15">
      <c r="O873" s="3"/>
    </row>
    <row r="874" spans="15:15" ht="13" x14ac:dyDescent="0.15">
      <c r="O874" s="3"/>
    </row>
    <row r="875" spans="15:15" ht="13" x14ac:dyDescent="0.15">
      <c r="O875" s="3"/>
    </row>
    <row r="876" spans="15:15" ht="13" x14ac:dyDescent="0.15">
      <c r="O876" s="3"/>
    </row>
    <row r="877" spans="15:15" ht="13" x14ac:dyDescent="0.15">
      <c r="O877" s="3"/>
    </row>
    <row r="878" spans="15:15" ht="13" x14ac:dyDescent="0.15">
      <c r="O878" s="3"/>
    </row>
    <row r="879" spans="15:15" ht="13" x14ac:dyDescent="0.15">
      <c r="O879" s="3"/>
    </row>
    <row r="880" spans="15:15" ht="13" x14ac:dyDescent="0.15">
      <c r="O880" s="3"/>
    </row>
    <row r="881" spans="15:15" ht="13" x14ac:dyDescent="0.15">
      <c r="O881" s="3"/>
    </row>
    <row r="882" spans="15:15" ht="13" x14ac:dyDescent="0.15">
      <c r="O882" s="3"/>
    </row>
    <row r="883" spans="15:15" ht="13" x14ac:dyDescent="0.15">
      <c r="O883" s="3"/>
    </row>
    <row r="884" spans="15:15" ht="13" x14ac:dyDescent="0.15">
      <c r="O884" s="3"/>
    </row>
    <row r="885" spans="15:15" ht="13" x14ac:dyDescent="0.15">
      <c r="O885" s="3"/>
    </row>
    <row r="886" spans="15:15" ht="13" x14ac:dyDescent="0.15">
      <c r="O886" s="3"/>
    </row>
    <row r="887" spans="15:15" ht="13" x14ac:dyDescent="0.15">
      <c r="O887" s="3"/>
    </row>
    <row r="888" spans="15:15" ht="13" x14ac:dyDescent="0.15">
      <c r="O888" s="3"/>
    </row>
    <row r="889" spans="15:15" ht="13" x14ac:dyDescent="0.15">
      <c r="O889" s="3"/>
    </row>
    <row r="890" spans="15:15" ht="13" x14ac:dyDescent="0.15">
      <c r="O890" s="3"/>
    </row>
    <row r="891" spans="15:15" ht="13" x14ac:dyDescent="0.15">
      <c r="O891" s="3"/>
    </row>
    <row r="892" spans="15:15" ht="13" x14ac:dyDescent="0.15">
      <c r="O892" s="3"/>
    </row>
    <row r="893" spans="15:15" ht="13" x14ac:dyDescent="0.15">
      <c r="O893" s="3"/>
    </row>
    <row r="894" spans="15:15" ht="13" x14ac:dyDescent="0.15">
      <c r="O894" s="3"/>
    </row>
    <row r="895" spans="15:15" ht="13" x14ac:dyDescent="0.15">
      <c r="O895" s="3"/>
    </row>
    <row r="896" spans="15:15" ht="13" x14ac:dyDescent="0.15">
      <c r="O896" s="3"/>
    </row>
    <row r="897" spans="15:15" ht="13" x14ac:dyDescent="0.15">
      <c r="O897" s="3"/>
    </row>
    <row r="898" spans="15:15" ht="13" x14ac:dyDescent="0.15">
      <c r="O898" s="3"/>
    </row>
    <row r="899" spans="15:15" ht="13" x14ac:dyDescent="0.15">
      <c r="O899" s="3"/>
    </row>
    <row r="900" spans="15:15" ht="13" x14ac:dyDescent="0.15">
      <c r="O900" s="3"/>
    </row>
    <row r="901" spans="15:15" ht="13" x14ac:dyDescent="0.15">
      <c r="O901" s="3"/>
    </row>
    <row r="902" spans="15:15" ht="13" x14ac:dyDescent="0.15">
      <c r="O902" s="3"/>
    </row>
    <row r="903" spans="15:15" ht="13" x14ac:dyDescent="0.15">
      <c r="O903" s="3"/>
    </row>
    <row r="904" spans="15:15" ht="13" x14ac:dyDescent="0.15">
      <c r="O904" s="3"/>
    </row>
    <row r="905" spans="15:15" ht="13" x14ac:dyDescent="0.15">
      <c r="O905" s="3"/>
    </row>
    <row r="906" spans="15:15" ht="13" x14ac:dyDescent="0.15">
      <c r="O906" s="3"/>
    </row>
    <row r="907" spans="15:15" ht="13" x14ac:dyDescent="0.15">
      <c r="O907" s="3"/>
    </row>
    <row r="908" spans="15:15" ht="13" x14ac:dyDescent="0.15">
      <c r="O908" s="3"/>
    </row>
    <row r="909" spans="15:15" ht="13" x14ac:dyDescent="0.15">
      <c r="O909" s="3"/>
    </row>
    <row r="910" spans="15:15" ht="13" x14ac:dyDescent="0.15">
      <c r="O910" s="3"/>
    </row>
    <row r="911" spans="15:15" ht="13" x14ac:dyDescent="0.15">
      <c r="O911" s="3"/>
    </row>
    <row r="912" spans="15:15" ht="13" x14ac:dyDescent="0.15">
      <c r="O912" s="3"/>
    </row>
    <row r="913" spans="15:15" ht="13" x14ac:dyDescent="0.15">
      <c r="O913" s="3"/>
    </row>
    <row r="914" spans="15:15" ht="13" x14ac:dyDescent="0.15">
      <c r="O914" s="3"/>
    </row>
    <row r="915" spans="15:15" ht="13" x14ac:dyDescent="0.15">
      <c r="O915" s="3"/>
    </row>
    <row r="916" spans="15:15" ht="13" x14ac:dyDescent="0.15">
      <c r="O916" s="3"/>
    </row>
    <row r="917" spans="15:15" ht="13" x14ac:dyDescent="0.15">
      <c r="O917" s="3"/>
    </row>
    <row r="918" spans="15:15" ht="13" x14ac:dyDescent="0.15">
      <c r="O918" s="3"/>
    </row>
    <row r="919" spans="15:15" ht="13" x14ac:dyDescent="0.15">
      <c r="O919" s="3"/>
    </row>
    <row r="920" spans="15:15" ht="13" x14ac:dyDescent="0.15">
      <c r="O920" s="3"/>
    </row>
    <row r="921" spans="15:15" ht="13" x14ac:dyDescent="0.15">
      <c r="O921" s="3"/>
    </row>
    <row r="922" spans="15:15" ht="13" x14ac:dyDescent="0.15">
      <c r="O922" s="3"/>
    </row>
    <row r="923" spans="15:15" ht="13" x14ac:dyDescent="0.15">
      <c r="O923" s="3"/>
    </row>
    <row r="924" spans="15:15" ht="13" x14ac:dyDescent="0.15">
      <c r="O924" s="3"/>
    </row>
    <row r="925" spans="15:15" ht="13" x14ac:dyDescent="0.15">
      <c r="O925" s="3"/>
    </row>
    <row r="926" spans="15:15" ht="13" x14ac:dyDescent="0.15">
      <c r="O926" s="3"/>
    </row>
    <row r="927" spans="15:15" ht="13" x14ac:dyDescent="0.15">
      <c r="O927" s="3"/>
    </row>
    <row r="928" spans="15:15" ht="13" x14ac:dyDescent="0.15">
      <c r="O928" s="3"/>
    </row>
    <row r="929" spans="15:15" ht="13" x14ac:dyDescent="0.15">
      <c r="O929" s="3"/>
    </row>
    <row r="930" spans="15:15" ht="13" x14ac:dyDescent="0.15">
      <c r="O930" s="3"/>
    </row>
    <row r="931" spans="15:15" ht="13" x14ac:dyDescent="0.15">
      <c r="O931" s="3"/>
    </row>
    <row r="932" spans="15:15" ht="13" x14ac:dyDescent="0.15">
      <c r="O932" s="3"/>
    </row>
    <row r="933" spans="15:15" ht="13" x14ac:dyDescent="0.15">
      <c r="O933" s="3"/>
    </row>
    <row r="934" spans="15:15" ht="13" x14ac:dyDescent="0.15">
      <c r="O934" s="3"/>
    </row>
    <row r="935" spans="15:15" ht="13" x14ac:dyDescent="0.15">
      <c r="O935" s="3"/>
    </row>
    <row r="936" spans="15:15" ht="13" x14ac:dyDescent="0.15">
      <c r="O936" s="3"/>
    </row>
    <row r="937" spans="15:15" ht="13" x14ac:dyDescent="0.15">
      <c r="O937" s="3"/>
    </row>
    <row r="938" spans="15:15" ht="13" x14ac:dyDescent="0.15">
      <c r="O938" s="3"/>
    </row>
    <row r="939" spans="15:15" ht="13" x14ac:dyDescent="0.15">
      <c r="O939" s="3"/>
    </row>
    <row r="940" spans="15:15" ht="13" x14ac:dyDescent="0.15">
      <c r="O940" s="3"/>
    </row>
    <row r="941" spans="15:15" ht="13" x14ac:dyDescent="0.15">
      <c r="O941" s="3"/>
    </row>
    <row r="942" spans="15:15" ht="13" x14ac:dyDescent="0.15">
      <c r="O942" s="3"/>
    </row>
    <row r="943" spans="15:15" ht="13" x14ac:dyDescent="0.15">
      <c r="O943" s="3"/>
    </row>
    <row r="944" spans="15:15" ht="13" x14ac:dyDescent="0.15">
      <c r="O944" s="3"/>
    </row>
    <row r="945" spans="15:15" ht="13" x14ac:dyDescent="0.15">
      <c r="O945" s="3"/>
    </row>
    <row r="946" spans="15:15" ht="13" x14ac:dyDescent="0.15">
      <c r="O946" s="3"/>
    </row>
    <row r="947" spans="15:15" ht="13" x14ac:dyDescent="0.15">
      <c r="O947" s="3"/>
    </row>
    <row r="948" spans="15:15" ht="13" x14ac:dyDescent="0.15">
      <c r="O948" s="3"/>
    </row>
    <row r="949" spans="15:15" ht="13" x14ac:dyDescent="0.15">
      <c r="O949" s="3"/>
    </row>
    <row r="950" spans="15:15" ht="13" x14ac:dyDescent="0.15">
      <c r="O950" s="3"/>
    </row>
    <row r="951" spans="15:15" ht="13" x14ac:dyDescent="0.15">
      <c r="O951" s="3"/>
    </row>
    <row r="952" spans="15:15" ht="13" x14ac:dyDescent="0.15">
      <c r="O952" s="3"/>
    </row>
    <row r="953" spans="15:15" ht="13" x14ac:dyDescent="0.15">
      <c r="O953" s="3"/>
    </row>
    <row r="954" spans="15:15" ht="13" x14ac:dyDescent="0.15">
      <c r="O954" s="3"/>
    </row>
    <row r="955" spans="15:15" ht="13" x14ac:dyDescent="0.15">
      <c r="O955" s="3"/>
    </row>
    <row r="956" spans="15:15" ht="13" x14ac:dyDescent="0.15">
      <c r="O956" s="3"/>
    </row>
    <row r="957" spans="15:15" ht="13" x14ac:dyDescent="0.15">
      <c r="O957" s="3"/>
    </row>
    <row r="958" spans="15:15" ht="13" x14ac:dyDescent="0.15">
      <c r="O958" s="3"/>
    </row>
    <row r="959" spans="15:15" ht="13" x14ac:dyDescent="0.15">
      <c r="O959" s="3"/>
    </row>
    <row r="960" spans="15:15" ht="13" x14ac:dyDescent="0.15">
      <c r="O960" s="3"/>
    </row>
    <row r="961" spans="15:15" ht="13" x14ac:dyDescent="0.15">
      <c r="O961" s="3"/>
    </row>
    <row r="962" spans="15:15" ht="13" x14ac:dyDescent="0.15">
      <c r="O962" s="3"/>
    </row>
    <row r="963" spans="15:15" ht="13" x14ac:dyDescent="0.15">
      <c r="O963" s="3"/>
    </row>
    <row r="964" spans="15:15" ht="13" x14ac:dyDescent="0.15">
      <c r="O964" s="3"/>
    </row>
    <row r="965" spans="15:15" ht="13" x14ac:dyDescent="0.15">
      <c r="O965" s="3"/>
    </row>
    <row r="966" spans="15:15" ht="13" x14ac:dyDescent="0.15">
      <c r="O966" s="3"/>
    </row>
    <row r="967" spans="15:15" ht="13" x14ac:dyDescent="0.15">
      <c r="O967" s="3"/>
    </row>
    <row r="968" spans="15:15" ht="13" x14ac:dyDescent="0.15">
      <c r="O968" s="3"/>
    </row>
    <row r="969" spans="15:15" ht="13" x14ac:dyDescent="0.15">
      <c r="O969" s="3"/>
    </row>
    <row r="970" spans="15:15" ht="13" x14ac:dyDescent="0.15">
      <c r="O970" s="3"/>
    </row>
    <row r="971" spans="15:15" ht="13" x14ac:dyDescent="0.15">
      <c r="O971" s="3"/>
    </row>
    <row r="972" spans="15:15" ht="13" x14ac:dyDescent="0.15">
      <c r="O972" s="3"/>
    </row>
    <row r="973" spans="15:15" ht="13" x14ac:dyDescent="0.15">
      <c r="O973" s="3"/>
    </row>
    <row r="974" spans="15:15" ht="13" x14ac:dyDescent="0.15">
      <c r="O974" s="3"/>
    </row>
    <row r="975" spans="15:15" ht="13" x14ac:dyDescent="0.15">
      <c r="O975" s="3"/>
    </row>
    <row r="976" spans="15:15" ht="13" x14ac:dyDescent="0.15">
      <c r="O976" s="3"/>
    </row>
    <row r="977" spans="15:15" ht="13" x14ac:dyDescent="0.15">
      <c r="O977" s="3"/>
    </row>
    <row r="978" spans="15:15" ht="13" x14ac:dyDescent="0.15">
      <c r="O978" s="3"/>
    </row>
    <row r="979" spans="15:15" ht="13" x14ac:dyDescent="0.15">
      <c r="O979" s="3"/>
    </row>
    <row r="980" spans="15:15" ht="13" x14ac:dyDescent="0.15">
      <c r="O980" s="3"/>
    </row>
    <row r="981" spans="15:15" ht="13" x14ac:dyDescent="0.15">
      <c r="O981" s="3"/>
    </row>
    <row r="982" spans="15:15" ht="13" x14ac:dyDescent="0.15">
      <c r="O982" s="3"/>
    </row>
    <row r="983" spans="15:15" ht="13" x14ac:dyDescent="0.15">
      <c r="O983" s="3"/>
    </row>
    <row r="984" spans="15:15" ht="13" x14ac:dyDescent="0.15">
      <c r="O984" s="3"/>
    </row>
    <row r="985" spans="15:15" ht="13" x14ac:dyDescent="0.15">
      <c r="O985" s="3"/>
    </row>
    <row r="986" spans="15:15" ht="13" x14ac:dyDescent="0.15">
      <c r="O986" s="3"/>
    </row>
    <row r="987" spans="15:15" ht="13" x14ac:dyDescent="0.15">
      <c r="O987" s="3"/>
    </row>
    <row r="988" spans="15:15" ht="13" x14ac:dyDescent="0.15">
      <c r="O988" s="3"/>
    </row>
    <row r="989" spans="15:15" ht="13" x14ac:dyDescent="0.15">
      <c r="O989" s="3"/>
    </row>
    <row r="990" spans="15:15" ht="13" x14ac:dyDescent="0.15">
      <c r="O990" s="3"/>
    </row>
    <row r="991" spans="15:15" ht="13" x14ac:dyDescent="0.15">
      <c r="O991" s="3"/>
    </row>
    <row r="992" spans="15:15" ht="13" x14ac:dyDescent="0.15">
      <c r="O992" s="3"/>
    </row>
    <row r="993" spans="15:15" ht="13" x14ac:dyDescent="0.15">
      <c r="O993" s="3"/>
    </row>
    <row r="994" spans="15:15" ht="13" x14ac:dyDescent="0.15">
      <c r="O994" s="3"/>
    </row>
    <row r="995" spans="15:15" ht="13" x14ac:dyDescent="0.15">
      <c r="O995" s="3"/>
    </row>
    <row r="996" spans="15:15" ht="13" x14ac:dyDescent="0.15">
      <c r="O996" s="3"/>
    </row>
    <row r="997" spans="15:15" ht="13" x14ac:dyDescent="0.15">
      <c r="O997" s="3"/>
    </row>
    <row r="998" spans="15:15" ht="13" x14ac:dyDescent="0.15">
      <c r="O998" s="3"/>
    </row>
    <row r="999" spans="15:15" ht="13" x14ac:dyDescent="0.15">
      <c r="O999" s="3"/>
    </row>
    <row r="1000" spans="15:15" ht="13" x14ac:dyDescent="0.15">
      <c r="O1000" s="3"/>
    </row>
  </sheetData>
  <conditionalFormatting sqref="A1:A4 O1:O4 B1:C7 I1:K7 L1:N10 D1:G13 H1:H109 K14:K25 L14:M61 L77:M79 L89:M91 K98:K109">
    <cfRule type="cellIs" dxfId="59" priority="1" operator="equal">
      <formula>"N/A"</formula>
    </cfRule>
  </conditionalFormatting>
  <conditionalFormatting sqref="E1:E13">
    <cfRule type="cellIs" dxfId="58" priority="6" operator="equal">
      <formula>"KI-CDK9d-32"</formula>
    </cfRule>
    <cfRule type="cellIs" dxfId="57" priority="7" operator="equal">
      <formula>"KI-CDK9d-32N"</formula>
    </cfRule>
    <cfRule type="cellIs" dxfId="56" priority="8" operator="equal">
      <formula>"KB-0742"</formula>
    </cfRule>
    <cfRule type="cellIs" dxfId="55" priority="9" operator="equal">
      <formula>"SY-5609"</formula>
    </cfRule>
    <cfRule type="cellIs" dxfId="54" priority="10" operator="equal">
      <formula>"Senexin B"</formula>
    </cfRule>
    <cfRule type="cellIs" dxfId="53" priority="11" operator="equal">
      <formula>"SEL120"</formula>
    </cfRule>
    <cfRule type="cellIs" dxfId="52" priority="13" operator="equal">
      <formula>"NONE"</formula>
    </cfRule>
  </conditionalFormatting>
  <conditionalFormatting sqref="E1:E1000">
    <cfRule type="cellIs" dxfId="51" priority="12" operator="equal">
      <formula>"DMSO"</formula>
    </cfRule>
    <cfRule type="cellIs" dxfId="50" priority="14" operator="equal">
      <formula>"BSJ-4-116"</formula>
    </cfRule>
    <cfRule type="cellIs" dxfId="49" priority="15" operator="equal">
      <formula>"CDK12-IN-2"</formula>
    </cfRule>
    <cfRule type="cellIs" dxfId="48" priority="16" operator="equal">
      <formula>"HQ461"</formula>
    </cfRule>
  </conditionalFormatting>
  <conditionalFormatting sqref="F1:F1000">
    <cfRule type="colorScale" priority="17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1000">
    <cfRule type="colorScale" priority="18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109">
    <cfRule type="cellIs" dxfId="47" priority="2" operator="equal">
      <formula>1</formula>
    </cfRule>
    <cfRule type="cellIs" dxfId="46" priority="3" operator="equal">
      <formula>2</formula>
    </cfRule>
    <cfRule type="cellIs" dxfId="45" priority="4" operator="equal">
      <formula>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9"/>
  <sheetViews>
    <sheetView topLeftCell="A72" zoomScale="200" workbookViewId="0"/>
  </sheetViews>
  <sheetFormatPr baseColWidth="10" defaultColWidth="12.6640625" defaultRowHeight="15.75" customHeight="1" x14ac:dyDescent="0.15"/>
  <cols>
    <col min="4" max="4" width="18.1640625" customWidth="1"/>
    <col min="15" max="15" width="46.1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</row>
    <row r="2" spans="1:17" ht="15.75" customHeight="1" x14ac:dyDescent="0.15">
      <c r="A2" s="2">
        <v>45774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90</v>
      </c>
      <c r="J2" s="3">
        <v>48</v>
      </c>
      <c r="K2" s="3" t="s">
        <v>17</v>
      </c>
      <c r="L2" s="3" t="s">
        <v>17</v>
      </c>
      <c r="M2" s="3" t="s">
        <v>17</v>
      </c>
      <c r="N2" s="4">
        <v>0.38400000000000001</v>
      </c>
      <c r="O2" s="3" t="s">
        <v>91</v>
      </c>
    </row>
    <row r="3" spans="1:17" ht="15.75" customHeight="1" x14ac:dyDescent="0.15">
      <c r="A3" s="2">
        <v>45774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90</v>
      </c>
      <c r="J3" s="3">
        <v>48</v>
      </c>
      <c r="K3" s="3" t="s">
        <v>17</v>
      </c>
      <c r="L3" s="3" t="s">
        <v>17</v>
      </c>
      <c r="M3" s="3" t="s">
        <v>17</v>
      </c>
      <c r="N3" s="4">
        <v>0.34599999999999997</v>
      </c>
      <c r="O3" s="3" t="s">
        <v>92</v>
      </c>
    </row>
    <row r="4" spans="1:17" ht="15.75" customHeight="1" x14ac:dyDescent="0.15">
      <c r="A4" s="2">
        <v>45774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90</v>
      </c>
      <c r="J4" s="3">
        <v>48</v>
      </c>
      <c r="K4" s="3" t="s">
        <v>17</v>
      </c>
      <c r="L4" s="3" t="s">
        <v>17</v>
      </c>
      <c r="M4" s="3" t="s">
        <v>17</v>
      </c>
      <c r="N4" s="4">
        <v>0.36099999999999999</v>
      </c>
      <c r="O4" s="3"/>
    </row>
    <row r="5" spans="1:17" ht="15.75" customHeight="1" x14ac:dyDescent="0.15">
      <c r="A5" s="19">
        <v>45775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94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</row>
    <row r="6" spans="1:17" ht="15.75" customHeight="1" x14ac:dyDescent="0.15">
      <c r="A6" s="19">
        <v>45775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94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</row>
    <row r="7" spans="1:17" ht="15.75" customHeight="1" x14ac:dyDescent="0.15">
      <c r="A7" s="19">
        <v>45775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94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</row>
    <row r="8" spans="1:17" ht="15.75" customHeight="1" x14ac:dyDescent="0.15">
      <c r="A8" s="19">
        <v>45778</v>
      </c>
      <c r="B8" s="16">
        <v>4</v>
      </c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16" t="s">
        <v>95</v>
      </c>
      <c r="J8" s="16">
        <v>94.5</v>
      </c>
      <c r="K8" s="3">
        <v>40</v>
      </c>
      <c r="L8" s="3" t="s">
        <v>17</v>
      </c>
      <c r="M8" s="3" t="s">
        <v>17</v>
      </c>
      <c r="N8" s="3" t="s">
        <v>17</v>
      </c>
      <c r="O8" s="16" t="s">
        <v>96</v>
      </c>
    </row>
    <row r="9" spans="1:17" ht="15.75" customHeight="1" x14ac:dyDescent="0.15">
      <c r="A9" s="19">
        <v>45778</v>
      </c>
      <c r="B9" s="16">
        <v>4</v>
      </c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16" t="s">
        <v>95</v>
      </c>
      <c r="J9" s="16">
        <v>89.5</v>
      </c>
      <c r="K9" s="3">
        <v>40</v>
      </c>
      <c r="L9" s="3" t="s">
        <v>17</v>
      </c>
      <c r="M9" s="3" t="s">
        <v>17</v>
      </c>
      <c r="N9" s="3" t="s">
        <v>17</v>
      </c>
      <c r="O9" s="16" t="s">
        <v>96</v>
      </c>
    </row>
    <row r="10" spans="1:17" ht="15.75" customHeight="1" x14ac:dyDescent="0.15">
      <c r="A10" s="19">
        <v>45778</v>
      </c>
      <c r="B10" s="16">
        <v>4</v>
      </c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16" t="s">
        <v>95</v>
      </c>
      <c r="J10" s="16">
        <v>83.5</v>
      </c>
      <c r="K10" s="3">
        <v>40</v>
      </c>
      <c r="L10" s="3" t="s">
        <v>17</v>
      </c>
      <c r="M10" s="3" t="s">
        <v>17</v>
      </c>
      <c r="N10" s="3" t="s">
        <v>17</v>
      </c>
      <c r="O10" s="16" t="s">
        <v>96</v>
      </c>
    </row>
    <row r="11" spans="1:17" ht="15.75" customHeight="1" x14ac:dyDescent="0.15">
      <c r="A11" s="19">
        <v>45781</v>
      </c>
      <c r="B11" s="16">
        <v>7</v>
      </c>
      <c r="D11" s="3" t="s">
        <v>19</v>
      </c>
      <c r="E11" s="3" t="s">
        <v>16</v>
      </c>
      <c r="F11" s="3" t="s">
        <v>17</v>
      </c>
      <c r="G11" s="3" t="s">
        <v>17</v>
      </c>
      <c r="H11" s="3">
        <v>1</v>
      </c>
      <c r="I11" s="16" t="s">
        <v>95</v>
      </c>
      <c r="J11" s="16">
        <v>98.5</v>
      </c>
      <c r="K11" s="16">
        <v>20</v>
      </c>
      <c r="L11" s="16">
        <v>3</v>
      </c>
      <c r="M11" s="16">
        <v>5</v>
      </c>
      <c r="N11" s="16" t="s">
        <v>97</v>
      </c>
      <c r="O11" s="3" t="s">
        <v>98</v>
      </c>
    </row>
    <row r="12" spans="1:17" ht="15.75" customHeight="1" x14ac:dyDescent="0.15">
      <c r="A12" s="19">
        <v>45781</v>
      </c>
      <c r="B12" s="16">
        <v>7</v>
      </c>
      <c r="D12" s="3" t="s">
        <v>19</v>
      </c>
      <c r="E12" s="3" t="s">
        <v>16</v>
      </c>
      <c r="F12" s="3" t="s">
        <v>17</v>
      </c>
      <c r="G12" s="3" t="s">
        <v>17</v>
      </c>
      <c r="H12" s="3">
        <v>2</v>
      </c>
      <c r="I12" s="16" t="s">
        <v>95</v>
      </c>
      <c r="J12" s="16">
        <v>100.5</v>
      </c>
      <c r="K12" s="16">
        <v>20</v>
      </c>
      <c r="L12" s="16">
        <v>3</v>
      </c>
      <c r="M12" s="16">
        <v>5</v>
      </c>
      <c r="N12" s="16" t="s">
        <v>97</v>
      </c>
      <c r="O12" s="3" t="s">
        <v>99</v>
      </c>
    </row>
    <row r="13" spans="1:17" ht="15.75" customHeight="1" x14ac:dyDescent="0.15">
      <c r="A13" s="19">
        <v>45781</v>
      </c>
      <c r="B13" s="16">
        <v>7</v>
      </c>
      <c r="D13" s="3" t="s">
        <v>19</v>
      </c>
      <c r="E13" s="3" t="s">
        <v>16</v>
      </c>
      <c r="F13" s="3" t="s">
        <v>17</v>
      </c>
      <c r="G13" s="3" t="s">
        <v>17</v>
      </c>
      <c r="H13" s="3">
        <v>3</v>
      </c>
      <c r="I13" s="16" t="s">
        <v>95</v>
      </c>
      <c r="J13" s="16">
        <v>100</v>
      </c>
      <c r="K13" s="16">
        <v>20</v>
      </c>
      <c r="L13" s="16">
        <v>3</v>
      </c>
      <c r="M13" s="16">
        <v>5</v>
      </c>
      <c r="N13" s="16" t="s">
        <v>97</v>
      </c>
      <c r="O13" s="3"/>
    </row>
    <row r="14" spans="1:17" ht="15.75" customHeight="1" x14ac:dyDescent="0.15">
      <c r="A14" s="19">
        <v>45782</v>
      </c>
      <c r="B14" s="16">
        <v>8</v>
      </c>
      <c r="C14" s="16">
        <v>0</v>
      </c>
      <c r="E14" s="16" t="s">
        <v>32</v>
      </c>
      <c r="F14" s="22">
        <v>2.2499999999999999E-4</v>
      </c>
      <c r="G14" s="22">
        <v>2.2499999999999999E-4</v>
      </c>
      <c r="H14" s="3">
        <v>1</v>
      </c>
      <c r="I14" s="16" t="s">
        <v>49</v>
      </c>
      <c r="J14" s="16">
        <v>5</v>
      </c>
      <c r="K14" s="3" t="s">
        <v>17</v>
      </c>
      <c r="L14" s="3" t="s">
        <v>17</v>
      </c>
      <c r="M14" s="3" t="s">
        <v>17</v>
      </c>
      <c r="P14" s="16">
        <v>0</v>
      </c>
      <c r="Q14" s="16">
        <v>0</v>
      </c>
    </row>
    <row r="15" spans="1:17" ht="15.75" customHeight="1" x14ac:dyDescent="0.15">
      <c r="A15" s="19">
        <v>45782</v>
      </c>
      <c r="B15" s="16">
        <v>8</v>
      </c>
      <c r="C15" s="16">
        <v>0</v>
      </c>
      <c r="E15" s="16" t="s">
        <v>32</v>
      </c>
      <c r="F15" s="22">
        <v>2.2499999999999999E-4</v>
      </c>
      <c r="G15" s="22">
        <v>2.2499999999999999E-4</v>
      </c>
      <c r="H15" s="3">
        <v>2</v>
      </c>
      <c r="I15" s="16" t="s">
        <v>49</v>
      </c>
      <c r="J15" s="16">
        <v>5</v>
      </c>
      <c r="K15" s="3" t="s">
        <v>17</v>
      </c>
      <c r="L15" s="3" t="s">
        <v>17</v>
      </c>
      <c r="M15" s="3" t="s">
        <v>17</v>
      </c>
      <c r="P15" s="16">
        <v>0</v>
      </c>
      <c r="Q15" s="16">
        <v>0</v>
      </c>
    </row>
    <row r="16" spans="1:17" ht="15.75" customHeight="1" x14ac:dyDescent="0.15">
      <c r="A16" s="19">
        <v>45782</v>
      </c>
      <c r="B16" s="16">
        <v>8</v>
      </c>
      <c r="C16" s="16">
        <v>0</v>
      </c>
      <c r="E16" s="16" t="s">
        <v>32</v>
      </c>
      <c r="F16" s="22">
        <v>2.2499999999999999E-4</v>
      </c>
      <c r="G16" s="22">
        <v>2.2499999999999999E-4</v>
      </c>
      <c r="H16" s="3">
        <v>3</v>
      </c>
      <c r="I16" s="16" t="s">
        <v>49</v>
      </c>
      <c r="J16" s="16">
        <v>5</v>
      </c>
      <c r="K16" s="3" t="s">
        <v>17</v>
      </c>
      <c r="L16" s="3" t="s">
        <v>17</v>
      </c>
      <c r="M16" s="3" t="s">
        <v>17</v>
      </c>
      <c r="P16" s="16">
        <v>0</v>
      </c>
      <c r="Q16" s="16">
        <v>0</v>
      </c>
    </row>
    <row r="17" spans="1:17" ht="15.75" customHeight="1" x14ac:dyDescent="0.15">
      <c r="A17" s="19">
        <v>45782</v>
      </c>
      <c r="B17" s="16">
        <v>8</v>
      </c>
      <c r="C17" s="16">
        <v>0</v>
      </c>
      <c r="E17" s="23" t="s">
        <v>100</v>
      </c>
      <c r="F17" s="16">
        <v>130</v>
      </c>
      <c r="G17" s="16">
        <v>130</v>
      </c>
      <c r="H17" s="3">
        <v>1</v>
      </c>
      <c r="I17" s="16" t="s">
        <v>49</v>
      </c>
      <c r="J17" s="16">
        <v>5</v>
      </c>
      <c r="K17" s="3" t="s">
        <v>17</v>
      </c>
      <c r="L17" s="3" t="s">
        <v>17</v>
      </c>
      <c r="M17" s="3" t="s">
        <v>17</v>
      </c>
      <c r="P17" s="16">
        <v>0</v>
      </c>
      <c r="Q17" s="16">
        <v>0</v>
      </c>
    </row>
    <row r="18" spans="1:17" ht="15.75" customHeight="1" x14ac:dyDescent="0.15">
      <c r="A18" s="19">
        <v>45782</v>
      </c>
      <c r="B18" s="16">
        <v>8</v>
      </c>
      <c r="C18" s="16">
        <v>0</v>
      </c>
      <c r="E18" s="23" t="s">
        <v>100</v>
      </c>
      <c r="F18" s="16">
        <v>130</v>
      </c>
      <c r="G18" s="16">
        <v>130</v>
      </c>
      <c r="H18" s="3">
        <v>2</v>
      </c>
      <c r="I18" s="16" t="s">
        <v>49</v>
      </c>
      <c r="J18" s="16">
        <v>5</v>
      </c>
      <c r="K18" s="3" t="s">
        <v>17</v>
      </c>
      <c r="L18" s="3" t="s">
        <v>17</v>
      </c>
      <c r="M18" s="3" t="s">
        <v>17</v>
      </c>
      <c r="P18" s="16">
        <v>0</v>
      </c>
      <c r="Q18" s="16">
        <v>0</v>
      </c>
    </row>
    <row r="19" spans="1:17" ht="15.75" customHeight="1" x14ac:dyDescent="0.15">
      <c r="A19" s="19">
        <v>45782</v>
      </c>
      <c r="B19" s="16">
        <v>8</v>
      </c>
      <c r="C19" s="16">
        <v>0</v>
      </c>
      <c r="E19" s="23" t="s">
        <v>100</v>
      </c>
      <c r="F19" s="16">
        <v>130</v>
      </c>
      <c r="G19" s="16">
        <v>130</v>
      </c>
      <c r="H19" s="3">
        <v>3</v>
      </c>
      <c r="I19" s="16" t="s">
        <v>49</v>
      </c>
      <c r="J19" s="16">
        <v>5</v>
      </c>
      <c r="K19" s="3" t="s">
        <v>17</v>
      </c>
      <c r="L19" s="3" t="s">
        <v>17</v>
      </c>
      <c r="M19" s="3" t="s">
        <v>17</v>
      </c>
      <c r="P19" s="16">
        <v>0</v>
      </c>
      <c r="Q19" s="16">
        <v>0</v>
      </c>
    </row>
    <row r="20" spans="1:17" ht="15.75" customHeight="1" x14ac:dyDescent="0.15">
      <c r="A20" s="19">
        <v>45782</v>
      </c>
      <c r="B20" s="16">
        <v>8</v>
      </c>
      <c r="C20" s="16">
        <v>0</v>
      </c>
      <c r="E20" s="23" t="s">
        <v>101</v>
      </c>
      <c r="F20" s="16">
        <v>2250</v>
      </c>
      <c r="G20" s="16">
        <v>2250</v>
      </c>
      <c r="H20" s="3">
        <v>1</v>
      </c>
      <c r="I20" s="16" t="s">
        <v>49</v>
      </c>
      <c r="J20" s="16">
        <v>5</v>
      </c>
      <c r="K20" s="3" t="s">
        <v>17</v>
      </c>
      <c r="L20" s="3" t="s">
        <v>17</v>
      </c>
      <c r="M20" s="3" t="s">
        <v>17</v>
      </c>
      <c r="P20" s="16">
        <v>0</v>
      </c>
      <c r="Q20" s="16">
        <v>0</v>
      </c>
    </row>
    <row r="21" spans="1:17" ht="15.75" customHeight="1" x14ac:dyDescent="0.15">
      <c r="A21" s="19">
        <v>45782</v>
      </c>
      <c r="B21" s="16">
        <v>8</v>
      </c>
      <c r="C21" s="16">
        <v>0</v>
      </c>
      <c r="E21" s="23" t="s">
        <v>101</v>
      </c>
      <c r="F21" s="16">
        <v>2250</v>
      </c>
      <c r="G21" s="16">
        <v>2250</v>
      </c>
      <c r="H21" s="3">
        <v>2</v>
      </c>
      <c r="I21" s="16" t="s">
        <v>49</v>
      </c>
      <c r="J21" s="16">
        <v>5</v>
      </c>
      <c r="K21" s="3" t="s">
        <v>17</v>
      </c>
      <c r="L21" s="3" t="s">
        <v>17</v>
      </c>
      <c r="M21" s="3" t="s">
        <v>17</v>
      </c>
      <c r="P21" s="16">
        <v>0</v>
      </c>
      <c r="Q21" s="16">
        <v>0</v>
      </c>
    </row>
    <row r="22" spans="1:17" ht="15.75" customHeight="1" x14ac:dyDescent="0.15">
      <c r="A22" s="19">
        <v>45782</v>
      </c>
      <c r="B22" s="16">
        <v>8</v>
      </c>
      <c r="C22" s="16">
        <v>0</v>
      </c>
      <c r="E22" s="23" t="s">
        <v>101</v>
      </c>
      <c r="F22" s="16">
        <v>2250</v>
      </c>
      <c r="G22" s="16">
        <v>2250</v>
      </c>
      <c r="H22" s="3">
        <v>3</v>
      </c>
      <c r="I22" s="16" t="s">
        <v>49</v>
      </c>
      <c r="J22" s="16">
        <v>5</v>
      </c>
      <c r="K22" s="3" t="s">
        <v>17</v>
      </c>
      <c r="L22" s="3" t="s">
        <v>17</v>
      </c>
      <c r="M22" s="3" t="s">
        <v>17</v>
      </c>
      <c r="P22" s="16">
        <v>0</v>
      </c>
      <c r="Q22" s="16">
        <v>0</v>
      </c>
    </row>
    <row r="23" spans="1:17" ht="15.75" customHeight="1" x14ac:dyDescent="0.15">
      <c r="A23" s="19">
        <v>45782</v>
      </c>
      <c r="B23" s="16">
        <v>8</v>
      </c>
      <c r="C23" s="16">
        <v>0</v>
      </c>
      <c r="E23" s="23" t="s">
        <v>102</v>
      </c>
      <c r="F23" s="16">
        <v>1700</v>
      </c>
      <c r="G23" s="16">
        <v>1700</v>
      </c>
      <c r="H23" s="3">
        <v>1</v>
      </c>
      <c r="I23" s="16" t="s">
        <v>49</v>
      </c>
      <c r="J23" s="16">
        <v>5</v>
      </c>
      <c r="K23" s="3" t="s">
        <v>17</v>
      </c>
      <c r="L23" s="3" t="s">
        <v>17</v>
      </c>
      <c r="M23" s="3" t="s">
        <v>17</v>
      </c>
      <c r="P23" s="16">
        <v>0</v>
      </c>
      <c r="Q23" s="16">
        <v>0</v>
      </c>
    </row>
    <row r="24" spans="1:17" ht="15.75" customHeight="1" x14ac:dyDescent="0.15">
      <c r="A24" s="19">
        <v>45782</v>
      </c>
      <c r="B24" s="16">
        <v>8</v>
      </c>
      <c r="C24" s="16">
        <v>0</v>
      </c>
      <c r="E24" s="23" t="s">
        <v>102</v>
      </c>
      <c r="F24" s="16">
        <v>1700</v>
      </c>
      <c r="G24" s="16">
        <v>1700</v>
      </c>
      <c r="H24" s="3">
        <v>2</v>
      </c>
      <c r="I24" s="16" t="s">
        <v>49</v>
      </c>
      <c r="J24" s="16">
        <v>5</v>
      </c>
      <c r="K24" s="3" t="s">
        <v>17</v>
      </c>
      <c r="L24" s="3" t="s">
        <v>17</v>
      </c>
      <c r="M24" s="3" t="s">
        <v>17</v>
      </c>
      <c r="P24" s="16">
        <v>0</v>
      </c>
      <c r="Q24" s="16">
        <v>0</v>
      </c>
    </row>
    <row r="25" spans="1:17" ht="15.75" customHeight="1" x14ac:dyDescent="0.15">
      <c r="A25" s="19">
        <v>45782</v>
      </c>
      <c r="B25" s="16">
        <v>8</v>
      </c>
      <c r="C25" s="16">
        <v>0</v>
      </c>
      <c r="E25" s="23" t="s">
        <v>102</v>
      </c>
      <c r="F25" s="16">
        <v>1700</v>
      </c>
      <c r="G25" s="16">
        <v>1700</v>
      </c>
      <c r="H25" s="3">
        <v>3</v>
      </c>
      <c r="I25" s="16" t="s">
        <v>49</v>
      </c>
      <c r="J25" s="16">
        <v>5</v>
      </c>
      <c r="K25" s="3" t="s">
        <v>17</v>
      </c>
      <c r="L25" s="3" t="s">
        <v>17</v>
      </c>
      <c r="M25" s="3" t="s">
        <v>17</v>
      </c>
      <c r="P25" s="16">
        <v>0</v>
      </c>
      <c r="Q25" s="16">
        <v>0</v>
      </c>
    </row>
    <row r="26" spans="1:17" ht="15.75" customHeight="1" x14ac:dyDescent="0.15">
      <c r="A26" s="19">
        <v>45785</v>
      </c>
      <c r="B26" s="16">
        <v>11</v>
      </c>
      <c r="C26" s="16">
        <v>3</v>
      </c>
      <c r="E26" s="16" t="s">
        <v>32</v>
      </c>
      <c r="F26" s="22">
        <v>2.2499999999999999E-4</v>
      </c>
      <c r="G26" s="22">
        <v>2.2499999999999999E-4</v>
      </c>
      <c r="H26" s="3">
        <v>1</v>
      </c>
      <c r="I26" s="16" t="s">
        <v>49</v>
      </c>
      <c r="J26" s="16">
        <v>20.9</v>
      </c>
      <c r="K26" s="16">
        <v>5</v>
      </c>
      <c r="L26" s="3" t="s">
        <v>17</v>
      </c>
      <c r="M26" s="3" t="s">
        <v>17</v>
      </c>
      <c r="P26" s="16">
        <f t="shared" ref="P26:P37" si="0">LOG(J26/5,2)</f>
        <v>2.0635029423061582</v>
      </c>
      <c r="Q26" s="16">
        <f t="shared" ref="Q26:Q37" si="1">P26</f>
        <v>2.0635029423061582</v>
      </c>
    </row>
    <row r="27" spans="1:17" ht="15.75" customHeight="1" x14ac:dyDescent="0.15">
      <c r="A27" s="19">
        <v>45785</v>
      </c>
      <c r="B27" s="16">
        <v>11</v>
      </c>
      <c r="C27" s="16">
        <v>3</v>
      </c>
      <c r="E27" s="16" t="s">
        <v>32</v>
      </c>
      <c r="F27" s="22">
        <v>2.2499999999999999E-4</v>
      </c>
      <c r="G27" s="22">
        <v>2.2499999999999999E-4</v>
      </c>
      <c r="H27" s="3">
        <v>2</v>
      </c>
      <c r="I27" s="16" t="s">
        <v>49</v>
      </c>
      <c r="J27" s="16">
        <v>18.600000000000001</v>
      </c>
      <c r="K27" s="16">
        <v>5</v>
      </c>
      <c r="L27" s="3" t="s">
        <v>17</v>
      </c>
      <c r="M27" s="3" t="s">
        <v>17</v>
      </c>
      <c r="P27" s="16">
        <f t="shared" si="0"/>
        <v>1.8953026213333068</v>
      </c>
      <c r="Q27" s="16">
        <f t="shared" si="1"/>
        <v>1.8953026213333068</v>
      </c>
    </row>
    <row r="28" spans="1:17" ht="15.75" customHeight="1" x14ac:dyDescent="0.15">
      <c r="A28" s="19">
        <v>45785</v>
      </c>
      <c r="B28" s="16">
        <v>11</v>
      </c>
      <c r="C28" s="16">
        <v>3</v>
      </c>
      <c r="E28" s="16" t="s">
        <v>32</v>
      </c>
      <c r="F28" s="22">
        <v>2.2499999999999999E-4</v>
      </c>
      <c r="G28" s="22">
        <v>2.2499999999999999E-4</v>
      </c>
      <c r="H28" s="3">
        <v>3</v>
      </c>
      <c r="I28" s="16" t="s">
        <v>49</v>
      </c>
      <c r="J28" s="16">
        <v>18.5</v>
      </c>
      <c r="K28" s="16">
        <v>5</v>
      </c>
      <c r="L28" s="3" t="s">
        <v>17</v>
      </c>
      <c r="M28" s="3" t="s">
        <v>17</v>
      </c>
      <c r="P28" s="16">
        <f t="shared" si="0"/>
        <v>1.8875252707415877</v>
      </c>
      <c r="Q28" s="16">
        <f t="shared" si="1"/>
        <v>1.8875252707415877</v>
      </c>
    </row>
    <row r="29" spans="1:17" ht="15.75" customHeight="1" x14ac:dyDescent="0.15">
      <c r="A29" s="19">
        <v>45785</v>
      </c>
      <c r="B29" s="16">
        <v>11</v>
      </c>
      <c r="C29" s="16">
        <v>3</v>
      </c>
      <c r="E29" s="23" t="s">
        <v>100</v>
      </c>
      <c r="F29" s="16">
        <v>130</v>
      </c>
      <c r="G29" s="16">
        <v>130</v>
      </c>
      <c r="H29" s="3">
        <v>1</v>
      </c>
      <c r="I29" s="16" t="s">
        <v>49</v>
      </c>
      <c r="J29" s="16">
        <v>15.1</v>
      </c>
      <c r="K29" s="16">
        <v>5</v>
      </c>
      <c r="L29" s="3" t="s">
        <v>17</v>
      </c>
      <c r="M29" s="3" t="s">
        <v>17</v>
      </c>
      <c r="P29" s="16">
        <f t="shared" si="0"/>
        <v>1.5945485495503544</v>
      </c>
      <c r="Q29" s="16">
        <f t="shared" si="1"/>
        <v>1.5945485495503544</v>
      </c>
    </row>
    <row r="30" spans="1:17" ht="15.75" customHeight="1" x14ac:dyDescent="0.15">
      <c r="A30" s="19">
        <v>45785</v>
      </c>
      <c r="B30" s="16">
        <v>11</v>
      </c>
      <c r="C30" s="16">
        <v>3</v>
      </c>
      <c r="E30" s="23" t="s">
        <v>100</v>
      </c>
      <c r="F30" s="16">
        <v>130</v>
      </c>
      <c r="G30" s="16">
        <v>130</v>
      </c>
      <c r="H30" s="3">
        <v>2</v>
      </c>
      <c r="I30" s="16" t="s">
        <v>49</v>
      </c>
      <c r="J30" s="16">
        <v>12.7</v>
      </c>
      <c r="K30" s="16">
        <v>5</v>
      </c>
      <c r="L30" s="3" t="s">
        <v>17</v>
      </c>
      <c r="M30" s="3" t="s">
        <v>17</v>
      </c>
      <c r="P30" s="16">
        <f t="shared" si="0"/>
        <v>1.3448284969974413</v>
      </c>
      <c r="Q30" s="16">
        <f t="shared" si="1"/>
        <v>1.3448284969974413</v>
      </c>
    </row>
    <row r="31" spans="1:17" ht="15.75" customHeight="1" x14ac:dyDescent="0.15">
      <c r="A31" s="19">
        <v>45785</v>
      </c>
      <c r="B31" s="16">
        <v>11</v>
      </c>
      <c r="C31" s="16">
        <v>3</v>
      </c>
      <c r="E31" s="23" t="s">
        <v>100</v>
      </c>
      <c r="F31" s="16">
        <v>130</v>
      </c>
      <c r="G31" s="16">
        <v>130</v>
      </c>
      <c r="H31" s="3">
        <v>3</v>
      </c>
      <c r="I31" s="16" t="s">
        <v>49</v>
      </c>
      <c r="J31" s="16">
        <v>14.2</v>
      </c>
      <c r="K31" s="16">
        <v>5</v>
      </c>
      <c r="L31" s="3" t="s">
        <v>17</v>
      </c>
      <c r="M31" s="3" t="s">
        <v>17</v>
      </c>
      <c r="P31" s="16">
        <f t="shared" si="0"/>
        <v>1.5058909297299574</v>
      </c>
      <c r="Q31" s="16">
        <f t="shared" si="1"/>
        <v>1.5058909297299574</v>
      </c>
    </row>
    <row r="32" spans="1:17" ht="15.75" customHeight="1" x14ac:dyDescent="0.15">
      <c r="A32" s="19">
        <v>45785</v>
      </c>
      <c r="B32" s="16">
        <v>11</v>
      </c>
      <c r="C32" s="16">
        <v>3</v>
      </c>
      <c r="E32" s="23" t="s">
        <v>101</v>
      </c>
      <c r="F32" s="16">
        <v>2250</v>
      </c>
      <c r="G32" s="16">
        <v>2250</v>
      </c>
      <c r="H32" s="3">
        <v>1</v>
      </c>
      <c r="I32" s="16" t="s">
        <v>49</v>
      </c>
      <c r="J32" s="16">
        <v>10.8</v>
      </c>
      <c r="K32" s="16">
        <v>5</v>
      </c>
      <c r="L32" s="3" t="s">
        <v>17</v>
      </c>
      <c r="M32" s="3" t="s">
        <v>17</v>
      </c>
      <c r="P32" s="16">
        <f t="shared" si="0"/>
        <v>1.1110313123887441</v>
      </c>
      <c r="Q32" s="16">
        <f t="shared" si="1"/>
        <v>1.1110313123887441</v>
      </c>
    </row>
    <row r="33" spans="1:17" ht="15.75" customHeight="1" x14ac:dyDescent="0.15">
      <c r="A33" s="19">
        <v>45785</v>
      </c>
      <c r="B33" s="16">
        <v>11</v>
      </c>
      <c r="C33" s="16">
        <v>3</v>
      </c>
      <c r="E33" s="23" t="s">
        <v>101</v>
      </c>
      <c r="F33" s="16">
        <v>2250</v>
      </c>
      <c r="G33" s="16">
        <v>2250</v>
      </c>
      <c r="H33" s="3">
        <v>2</v>
      </c>
      <c r="I33" s="16" t="s">
        <v>49</v>
      </c>
      <c r="J33" s="16">
        <v>11.5</v>
      </c>
      <c r="K33" s="16">
        <v>5</v>
      </c>
      <c r="L33" s="3" t="s">
        <v>17</v>
      </c>
      <c r="M33" s="3" t="s">
        <v>17</v>
      </c>
      <c r="P33" s="16">
        <f t="shared" si="0"/>
        <v>1.2016338611696504</v>
      </c>
      <c r="Q33" s="16">
        <f t="shared" si="1"/>
        <v>1.2016338611696504</v>
      </c>
    </row>
    <row r="34" spans="1:17" ht="15.75" customHeight="1" x14ac:dyDescent="0.15">
      <c r="A34" s="19">
        <v>45785</v>
      </c>
      <c r="B34" s="16">
        <v>11</v>
      </c>
      <c r="C34" s="16">
        <v>3</v>
      </c>
      <c r="E34" s="23" t="s">
        <v>101</v>
      </c>
      <c r="F34" s="16">
        <v>2250</v>
      </c>
      <c r="G34" s="16">
        <v>2250</v>
      </c>
      <c r="H34" s="3">
        <v>3</v>
      </c>
      <c r="I34" s="16" t="s">
        <v>49</v>
      </c>
      <c r="J34" s="16">
        <v>11.2</v>
      </c>
      <c r="K34" s="16">
        <v>5</v>
      </c>
      <c r="L34" s="3" t="s">
        <v>17</v>
      </c>
      <c r="M34" s="3" t="s">
        <v>17</v>
      </c>
      <c r="P34" s="16">
        <f t="shared" si="0"/>
        <v>1.1634987322828794</v>
      </c>
      <c r="Q34" s="16">
        <f t="shared" si="1"/>
        <v>1.1634987322828794</v>
      </c>
    </row>
    <row r="35" spans="1:17" ht="15.75" customHeight="1" x14ac:dyDescent="0.15">
      <c r="A35" s="19">
        <v>45785</v>
      </c>
      <c r="B35" s="16">
        <v>11</v>
      </c>
      <c r="C35" s="16">
        <v>3</v>
      </c>
      <c r="E35" s="23" t="s">
        <v>102</v>
      </c>
      <c r="F35" s="16">
        <v>1700</v>
      </c>
      <c r="G35" s="16">
        <v>1700</v>
      </c>
      <c r="H35" s="3">
        <v>1</v>
      </c>
      <c r="I35" s="16" t="s">
        <v>49</v>
      </c>
      <c r="J35" s="16">
        <v>13.1</v>
      </c>
      <c r="K35" s="16">
        <v>5</v>
      </c>
      <c r="L35" s="3" t="s">
        <v>17</v>
      </c>
      <c r="M35" s="3" t="s">
        <v>17</v>
      </c>
      <c r="P35" s="16">
        <f t="shared" si="0"/>
        <v>1.3895668117627258</v>
      </c>
      <c r="Q35" s="16">
        <f t="shared" si="1"/>
        <v>1.3895668117627258</v>
      </c>
    </row>
    <row r="36" spans="1:17" ht="15.75" customHeight="1" x14ac:dyDescent="0.15">
      <c r="A36" s="19">
        <v>45785</v>
      </c>
      <c r="B36" s="16">
        <v>11</v>
      </c>
      <c r="C36" s="16">
        <v>3</v>
      </c>
      <c r="E36" s="23" t="s">
        <v>102</v>
      </c>
      <c r="F36" s="16">
        <v>1700</v>
      </c>
      <c r="G36" s="16">
        <v>1700</v>
      </c>
      <c r="H36" s="3">
        <v>2</v>
      </c>
      <c r="I36" s="16" t="s">
        <v>49</v>
      </c>
      <c r="J36" s="16">
        <v>13.1</v>
      </c>
      <c r="K36" s="16">
        <v>5</v>
      </c>
      <c r="L36" s="3" t="s">
        <v>17</v>
      </c>
      <c r="M36" s="3" t="s">
        <v>17</v>
      </c>
      <c r="P36" s="16">
        <f t="shared" si="0"/>
        <v>1.3895668117627258</v>
      </c>
      <c r="Q36" s="16">
        <f t="shared" si="1"/>
        <v>1.3895668117627258</v>
      </c>
    </row>
    <row r="37" spans="1:17" ht="15.75" customHeight="1" x14ac:dyDescent="0.15">
      <c r="A37" s="19">
        <v>45785</v>
      </c>
      <c r="B37" s="16">
        <v>11</v>
      </c>
      <c r="C37" s="16">
        <v>3</v>
      </c>
      <c r="E37" s="23" t="s">
        <v>102</v>
      </c>
      <c r="F37" s="16">
        <v>1700</v>
      </c>
      <c r="G37" s="16">
        <v>1700</v>
      </c>
      <c r="H37" s="3">
        <v>3</v>
      </c>
      <c r="I37" s="16" t="s">
        <v>49</v>
      </c>
      <c r="J37" s="16">
        <v>13.9</v>
      </c>
      <c r="K37" s="16">
        <v>5</v>
      </c>
      <c r="L37" s="3" t="s">
        <v>17</v>
      </c>
      <c r="M37" s="3" t="s">
        <v>17</v>
      </c>
      <c r="P37" s="16">
        <f t="shared" si="0"/>
        <v>1.4750848829487828</v>
      </c>
      <c r="Q37" s="16">
        <f t="shared" si="1"/>
        <v>1.4750848829487828</v>
      </c>
    </row>
    <row r="38" spans="1:17" ht="15.75" customHeight="1" x14ac:dyDescent="0.15">
      <c r="A38" s="19">
        <v>45788</v>
      </c>
      <c r="B38" s="16">
        <v>14</v>
      </c>
      <c r="C38" s="16">
        <v>6</v>
      </c>
      <c r="E38" s="16" t="s">
        <v>32</v>
      </c>
      <c r="F38" s="22">
        <v>2.2499999999999999E-4</v>
      </c>
      <c r="G38" s="22">
        <v>2.2499999999999999E-4</v>
      </c>
      <c r="H38" s="3">
        <v>1</v>
      </c>
      <c r="I38" s="16" t="s">
        <v>49</v>
      </c>
      <c r="J38" s="16">
        <v>18.5</v>
      </c>
      <c r="K38" s="16">
        <v>5</v>
      </c>
      <c r="L38" s="3" t="s">
        <v>17</v>
      </c>
      <c r="M38" s="3" t="s">
        <v>17</v>
      </c>
      <c r="P38" s="16">
        <f t="shared" ref="P38:P109" si="2">LOG(J38/K26,2)</f>
        <v>1.8875252707415877</v>
      </c>
      <c r="Q38" s="16">
        <f t="shared" ref="Q38:Q109" si="3">P38+Q26</f>
        <v>3.9510282130477457</v>
      </c>
    </row>
    <row r="39" spans="1:17" ht="15.75" customHeight="1" x14ac:dyDescent="0.15">
      <c r="A39" s="19">
        <v>45788</v>
      </c>
      <c r="B39" s="16">
        <v>14</v>
      </c>
      <c r="C39" s="16">
        <v>6</v>
      </c>
      <c r="E39" s="16" t="s">
        <v>32</v>
      </c>
      <c r="F39" s="22">
        <v>2.2499999999999999E-4</v>
      </c>
      <c r="G39" s="22">
        <v>2.2499999999999999E-4</v>
      </c>
      <c r="H39" s="3">
        <v>2</v>
      </c>
      <c r="I39" s="16" t="s">
        <v>49</v>
      </c>
      <c r="J39" s="16">
        <v>18.399999999999999</v>
      </c>
      <c r="K39" s="16">
        <v>5</v>
      </c>
      <c r="L39" s="3" t="s">
        <v>17</v>
      </c>
      <c r="M39" s="3" t="s">
        <v>17</v>
      </c>
      <c r="P39" s="16">
        <f t="shared" si="2"/>
        <v>1.879705766282288</v>
      </c>
      <c r="Q39" s="16">
        <f t="shared" si="3"/>
        <v>3.7750083876155949</v>
      </c>
    </row>
    <row r="40" spans="1:17" ht="15.75" customHeight="1" x14ac:dyDescent="0.15">
      <c r="A40" s="19">
        <v>45788</v>
      </c>
      <c r="B40" s="16">
        <v>14</v>
      </c>
      <c r="C40" s="16">
        <v>6</v>
      </c>
      <c r="E40" s="16" t="s">
        <v>32</v>
      </c>
      <c r="F40" s="22">
        <v>2.2499999999999999E-4</v>
      </c>
      <c r="G40" s="22">
        <v>2.2499999999999999E-4</v>
      </c>
      <c r="H40" s="3">
        <v>3</v>
      </c>
      <c r="I40" s="16" t="s">
        <v>49</v>
      </c>
      <c r="J40" s="16">
        <v>18.399999999999999</v>
      </c>
      <c r="K40" s="16">
        <v>5</v>
      </c>
      <c r="L40" s="3" t="s">
        <v>17</v>
      </c>
      <c r="M40" s="3" t="s">
        <v>17</v>
      </c>
      <c r="P40" s="16">
        <f t="shared" si="2"/>
        <v>1.879705766282288</v>
      </c>
      <c r="Q40" s="16">
        <f t="shared" si="3"/>
        <v>3.7672310370238757</v>
      </c>
    </row>
    <row r="41" spans="1:17" ht="15.75" customHeight="1" x14ac:dyDescent="0.15">
      <c r="A41" s="19">
        <v>45788</v>
      </c>
      <c r="B41" s="16">
        <v>14</v>
      </c>
      <c r="C41" s="16">
        <v>6</v>
      </c>
      <c r="E41" s="23" t="s">
        <v>100</v>
      </c>
      <c r="F41" s="16">
        <v>130</v>
      </c>
      <c r="G41" s="16">
        <v>130</v>
      </c>
      <c r="H41" s="3">
        <v>1</v>
      </c>
      <c r="I41" s="16" t="s">
        <v>49</v>
      </c>
      <c r="J41" s="16">
        <v>21.2</v>
      </c>
      <c r="K41" s="16">
        <v>5</v>
      </c>
      <c r="L41" s="3" t="s">
        <v>17</v>
      </c>
      <c r="M41" s="3" t="s">
        <v>17</v>
      </c>
      <c r="P41" s="16">
        <f t="shared" si="2"/>
        <v>2.0840642647884744</v>
      </c>
      <c r="Q41" s="16">
        <f t="shared" si="3"/>
        <v>3.6786128143388286</v>
      </c>
    </row>
    <row r="42" spans="1:17" ht="15.75" customHeight="1" x14ac:dyDescent="0.15">
      <c r="A42" s="19">
        <v>45788</v>
      </c>
      <c r="B42" s="16">
        <v>14</v>
      </c>
      <c r="C42" s="16">
        <v>6</v>
      </c>
      <c r="E42" s="23" t="s">
        <v>100</v>
      </c>
      <c r="F42" s="16">
        <v>130</v>
      </c>
      <c r="G42" s="16">
        <v>130</v>
      </c>
      <c r="H42" s="3">
        <v>2</v>
      </c>
      <c r="I42" s="16" t="s">
        <v>49</v>
      </c>
      <c r="J42" s="16">
        <v>18.5</v>
      </c>
      <c r="K42" s="16">
        <v>5</v>
      </c>
      <c r="L42" s="3" t="s">
        <v>17</v>
      </c>
      <c r="M42" s="3" t="s">
        <v>17</v>
      </c>
      <c r="P42" s="16">
        <f t="shared" si="2"/>
        <v>1.8875252707415877</v>
      </c>
      <c r="Q42" s="16">
        <f t="shared" si="3"/>
        <v>3.232353767739029</v>
      </c>
    </row>
    <row r="43" spans="1:17" ht="15.75" customHeight="1" x14ac:dyDescent="0.15">
      <c r="A43" s="19">
        <v>45788</v>
      </c>
      <c r="B43" s="16">
        <v>14</v>
      </c>
      <c r="C43" s="16">
        <v>6</v>
      </c>
      <c r="E43" s="23" t="s">
        <v>100</v>
      </c>
      <c r="F43" s="16">
        <v>130</v>
      </c>
      <c r="G43" s="16">
        <v>130</v>
      </c>
      <c r="H43" s="3">
        <v>3</v>
      </c>
      <c r="I43" s="16" t="s">
        <v>49</v>
      </c>
      <c r="J43" s="16">
        <v>18</v>
      </c>
      <c r="K43" s="16">
        <v>5</v>
      </c>
      <c r="L43" s="3" t="s">
        <v>17</v>
      </c>
      <c r="M43" s="3" t="s">
        <v>17</v>
      </c>
      <c r="P43" s="16">
        <f t="shared" si="2"/>
        <v>1.84799690655495</v>
      </c>
      <c r="Q43" s="16">
        <f t="shared" si="3"/>
        <v>3.3538878362849074</v>
      </c>
    </row>
    <row r="44" spans="1:17" ht="15.75" customHeight="1" x14ac:dyDescent="0.15">
      <c r="A44" s="19">
        <v>45788</v>
      </c>
      <c r="B44" s="16">
        <v>14</v>
      </c>
      <c r="C44" s="16">
        <v>6</v>
      </c>
      <c r="E44" s="23" t="s">
        <v>101</v>
      </c>
      <c r="F44" s="16">
        <v>2250</v>
      </c>
      <c r="G44" s="16">
        <v>2250</v>
      </c>
      <c r="H44" s="3">
        <v>1</v>
      </c>
      <c r="I44" s="16" t="s">
        <v>49</v>
      </c>
      <c r="J44" s="16">
        <v>13</v>
      </c>
      <c r="K44" s="16">
        <v>5</v>
      </c>
      <c r="L44" s="3" t="s">
        <v>17</v>
      </c>
      <c r="M44" s="3" t="s">
        <v>17</v>
      </c>
      <c r="P44" s="16">
        <f t="shared" si="2"/>
        <v>1.3785116232537298</v>
      </c>
      <c r="Q44" s="16">
        <f t="shared" si="3"/>
        <v>2.4895429356424739</v>
      </c>
    </row>
    <row r="45" spans="1:17" ht="15.75" customHeight="1" x14ac:dyDescent="0.15">
      <c r="A45" s="19">
        <v>45788</v>
      </c>
      <c r="B45" s="16">
        <v>14</v>
      </c>
      <c r="C45" s="16">
        <v>6</v>
      </c>
      <c r="E45" s="23" t="s">
        <v>101</v>
      </c>
      <c r="F45" s="16">
        <v>2250</v>
      </c>
      <c r="G45" s="16">
        <v>2250</v>
      </c>
      <c r="H45" s="3">
        <v>2</v>
      </c>
      <c r="I45" s="16" t="s">
        <v>49</v>
      </c>
      <c r="J45" s="16">
        <v>14.1</v>
      </c>
      <c r="K45" s="16">
        <v>5</v>
      </c>
      <c r="L45" s="3" t="s">
        <v>17</v>
      </c>
      <c r="M45" s="3" t="s">
        <v>17</v>
      </c>
      <c r="P45" s="16">
        <f t="shared" si="2"/>
        <v>1.4956951626240689</v>
      </c>
      <c r="Q45" s="16">
        <f t="shared" si="3"/>
        <v>2.6973290237937193</v>
      </c>
    </row>
    <row r="46" spans="1:17" ht="15.75" customHeight="1" x14ac:dyDescent="0.15">
      <c r="A46" s="19">
        <v>45788</v>
      </c>
      <c r="B46" s="16">
        <v>14</v>
      </c>
      <c r="C46" s="16">
        <v>6</v>
      </c>
      <c r="E46" s="23" t="s">
        <v>101</v>
      </c>
      <c r="F46" s="16">
        <v>2250</v>
      </c>
      <c r="G46" s="16">
        <v>2250</v>
      </c>
      <c r="H46" s="3">
        <v>3</v>
      </c>
      <c r="I46" s="16" t="s">
        <v>49</v>
      </c>
      <c r="J46" s="16">
        <v>11.6</v>
      </c>
      <c r="K46" s="16">
        <v>5</v>
      </c>
      <c r="L46" s="3" t="s">
        <v>17</v>
      </c>
      <c r="M46" s="3" t="s">
        <v>17</v>
      </c>
      <c r="P46" s="16">
        <f t="shared" si="2"/>
        <v>1.2141248053528473</v>
      </c>
      <c r="Q46" s="16">
        <f t="shared" si="3"/>
        <v>2.3776235376357269</v>
      </c>
    </row>
    <row r="47" spans="1:17" ht="15.75" customHeight="1" x14ac:dyDescent="0.15">
      <c r="A47" s="19">
        <v>45788</v>
      </c>
      <c r="B47" s="16">
        <v>14</v>
      </c>
      <c r="C47" s="16">
        <v>6</v>
      </c>
      <c r="E47" s="23" t="s">
        <v>102</v>
      </c>
      <c r="F47" s="16">
        <v>1700</v>
      </c>
      <c r="G47" s="16">
        <v>1700</v>
      </c>
      <c r="H47" s="3">
        <v>1</v>
      </c>
      <c r="I47" s="16" t="s">
        <v>49</v>
      </c>
      <c r="J47" s="16">
        <v>13</v>
      </c>
      <c r="K47" s="16">
        <v>5</v>
      </c>
      <c r="L47" s="3" t="s">
        <v>17</v>
      </c>
      <c r="M47" s="3" t="s">
        <v>17</v>
      </c>
      <c r="P47" s="16">
        <f t="shared" si="2"/>
        <v>1.3785116232537298</v>
      </c>
      <c r="Q47" s="16">
        <f t="shared" si="3"/>
        <v>2.7680784350164558</v>
      </c>
    </row>
    <row r="48" spans="1:17" ht="15.75" customHeight="1" x14ac:dyDescent="0.15">
      <c r="A48" s="19">
        <v>45788</v>
      </c>
      <c r="B48" s="16">
        <v>14</v>
      </c>
      <c r="C48" s="16">
        <v>6</v>
      </c>
      <c r="E48" s="23" t="s">
        <v>102</v>
      </c>
      <c r="F48" s="16">
        <v>1700</v>
      </c>
      <c r="G48" s="16">
        <v>1700</v>
      </c>
      <c r="H48" s="3">
        <v>2</v>
      </c>
      <c r="I48" s="16" t="s">
        <v>49</v>
      </c>
      <c r="J48" s="16">
        <v>12.6</v>
      </c>
      <c r="K48" s="16">
        <v>5</v>
      </c>
      <c r="L48" s="3" t="s">
        <v>17</v>
      </c>
      <c r="M48" s="3" t="s">
        <v>17</v>
      </c>
      <c r="P48" s="16">
        <f t="shared" si="2"/>
        <v>1.3334237337251917</v>
      </c>
      <c r="Q48" s="16">
        <f t="shared" si="3"/>
        <v>2.7229905454879173</v>
      </c>
    </row>
    <row r="49" spans="1:17" ht="15.75" customHeight="1" x14ac:dyDescent="0.15">
      <c r="A49" s="19">
        <v>45788</v>
      </c>
      <c r="B49" s="16">
        <v>14</v>
      </c>
      <c r="C49" s="16">
        <v>6</v>
      </c>
      <c r="E49" s="23" t="s">
        <v>102</v>
      </c>
      <c r="F49" s="16">
        <v>1700</v>
      </c>
      <c r="G49" s="16">
        <v>1700</v>
      </c>
      <c r="H49" s="3">
        <v>3</v>
      </c>
      <c r="I49" s="16" t="s">
        <v>49</v>
      </c>
      <c r="J49" s="16">
        <v>11.9</v>
      </c>
      <c r="K49" s="16">
        <v>5</v>
      </c>
      <c r="L49" s="3" t="s">
        <v>17</v>
      </c>
      <c r="M49" s="3" t="s">
        <v>17</v>
      </c>
      <c r="P49" s="16">
        <f t="shared" si="2"/>
        <v>1.2509615735332189</v>
      </c>
      <c r="Q49" s="16">
        <f t="shared" si="3"/>
        <v>2.7260464564820017</v>
      </c>
    </row>
    <row r="50" spans="1:17" ht="15.75" customHeight="1" x14ac:dyDescent="0.15">
      <c r="A50" s="19">
        <v>45791</v>
      </c>
      <c r="B50" s="16">
        <v>17</v>
      </c>
      <c r="C50" s="16">
        <v>9</v>
      </c>
      <c r="E50" s="16" t="s">
        <v>32</v>
      </c>
      <c r="F50" s="22">
        <v>2.2499999999999999E-4</v>
      </c>
      <c r="G50" s="22">
        <v>2.2499999999999999E-4</v>
      </c>
      <c r="H50" s="3">
        <v>1</v>
      </c>
      <c r="I50" s="16" t="s">
        <v>49</v>
      </c>
      <c r="J50" s="16">
        <v>16.7</v>
      </c>
      <c r="K50" s="16">
        <v>5</v>
      </c>
      <c r="L50" s="3" t="s">
        <v>17</v>
      </c>
      <c r="M50" s="3" t="s">
        <v>17</v>
      </c>
      <c r="N50" s="18" t="s">
        <v>105</v>
      </c>
      <c r="P50" s="16">
        <f t="shared" si="2"/>
        <v>1.7398481026993275</v>
      </c>
      <c r="Q50" s="16">
        <f t="shared" si="3"/>
        <v>5.6908763157470732</v>
      </c>
    </row>
    <row r="51" spans="1:17" ht="14" x14ac:dyDescent="0.15">
      <c r="A51" s="19">
        <v>45791</v>
      </c>
      <c r="B51" s="16">
        <v>17</v>
      </c>
      <c r="C51" s="16">
        <v>9</v>
      </c>
      <c r="E51" s="16" t="s">
        <v>32</v>
      </c>
      <c r="F51" s="22">
        <v>2.2499999999999999E-4</v>
      </c>
      <c r="G51" s="22">
        <v>2.2499999999999999E-4</v>
      </c>
      <c r="H51" s="3">
        <v>2</v>
      </c>
      <c r="I51" s="16" t="s">
        <v>49</v>
      </c>
      <c r="J51" s="16">
        <v>17.600000000000001</v>
      </c>
      <c r="K51" s="16">
        <v>5</v>
      </c>
      <c r="L51" s="3" t="s">
        <v>17</v>
      </c>
      <c r="M51" s="3" t="s">
        <v>17</v>
      </c>
      <c r="P51" s="16">
        <f t="shared" si="2"/>
        <v>1.8155754288625727</v>
      </c>
      <c r="Q51" s="16">
        <f t="shared" si="3"/>
        <v>5.5905838164781674</v>
      </c>
    </row>
    <row r="52" spans="1:17" ht="14" x14ac:dyDescent="0.15">
      <c r="A52" s="19">
        <v>45791</v>
      </c>
      <c r="B52" s="16">
        <v>17</v>
      </c>
      <c r="C52" s="16">
        <v>9</v>
      </c>
      <c r="E52" s="16" t="s">
        <v>32</v>
      </c>
      <c r="F52" s="22">
        <v>2.2499999999999999E-4</v>
      </c>
      <c r="G52" s="22">
        <v>2.2499999999999999E-4</v>
      </c>
      <c r="H52" s="3">
        <v>3</v>
      </c>
      <c r="I52" s="16" t="s">
        <v>49</v>
      </c>
      <c r="J52" s="16">
        <v>18</v>
      </c>
      <c r="K52" s="16">
        <v>5</v>
      </c>
      <c r="L52" s="3" t="s">
        <v>17</v>
      </c>
      <c r="M52" s="3" t="s">
        <v>17</v>
      </c>
      <c r="P52" s="16">
        <f t="shared" si="2"/>
        <v>1.84799690655495</v>
      </c>
      <c r="Q52" s="16">
        <f t="shared" si="3"/>
        <v>5.6152279435788257</v>
      </c>
    </row>
    <row r="53" spans="1:17" ht="14" x14ac:dyDescent="0.15">
      <c r="A53" s="19">
        <v>45791</v>
      </c>
      <c r="B53" s="16">
        <v>17</v>
      </c>
      <c r="C53" s="16">
        <v>9</v>
      </c>
      <c r="E53" s="23" t="s">
        <v>100</v>
      </c>
      <c r="F53" s="16">
        <v>130</v>
      </c>
      <c r="G53" s="18">
        <v>260</v>
      </c>
      <c r="H53" s="3">
        <v>1</v>
      </c>
      <c r="I53" s="16" t="s">
        <v>49</v>
      </c>
      <c r="J53" s="16">
        <v>13.9</v>
      </c>
      <c r="K53" s="16">
        <v>5</v>
      </c>
      <c r="L53" s="3" t="s">
        <v>17</v>
      </c>
      <c r="M53" s="3" t="s">
        <v>17</v>
      </c>
      <c r="N53" s="18" t="s">
        <v>106</v>
      </c>
      <c r="P53" s="16">
        <f t="shared" si="2"/>
        <v>1.4750848829487828</v>
      </c>
      <c r="Q53" s="16">
        <f t="shared" si="3"/>
        <v>5.1536976972876118</v>
      </c>
    </row>
    <row r="54" spans="1:17" ht="14" x14ac:dyDescent="0.15">
      <c r="A54" s="19">
        <v>45791</v>
      </c>
      <c r="B54" s="16">
        <v>17</v>
      </c>
      <c r="C54" s="16">
        <v>9</v>
      </c>
      <c r="E54" s="23" t="s">
        <v>100</v>
      </c>
      <c r="F54" s="16">
        <v>130</v>
      </c>
      <c r="G54" s="18">
        <v>260</v>
      </c>
      <c r="H54" s="3">
        <v>2</v>
      </c>
      <c r="I54" s="16" t="s">
        <v>49</v>
      </c>
      <c r="J54" s="16">
        <v>14.5</v>
      </c>
      <c r="K54" s="16">
        <v>5</v>
      </c>
      <c r="L54" s="3" t="s">
        <v>17</v>
      </c>
      <c r="M54" s="3" t="s">
        <v>17</v>
      </c>
      <c r="P54" s="16">
        <f t="shared" si="2"/>
        <v>1.5360529002402097</v>
      </c>
      <c r="Q54" s="16">
        <f t="shared" si="3"/>
        <v>4.7684066679792387</v>
      </c>
    </row>
    <row r="55" spans="1:17" ht="14" x14ac:dyDescent="0.15">
      <c r="A55" s="19">
        <v>45791</v>
      </c>
      <c r="B55" s="16">
        <v>17</v>
      </c>
      <c r="C55" s="16">
        <v>9</v>
      </c>
      <c r="E55" s="23" t="s">
        <v>100</v>
      </c>
      <c r="F55" s="16">
        <v>130</v>
      </c>
      <c r="G55" s="18">
        <v>260</v>
      </c>
      <c r="H55" s="3">
        <v>3</v>
      </c>
      <c r="I55" s="16" t="s">
        <v>49</v>
      </c>
      <c r="J55" s="16">
        <v>17.100000000000001</v>
      </c>
      <c r="K55" s="16">
        <v>5</v>
      </c>
      <c r="L55" s="3" t="s">
        <v>17</v>
      </c>
      <c r="M55" s="3" t="s">
        <v>17</v>
      </c>
      <c r="P55" s="16">
        <f t="shared" si="2"/>
        <v>1.7739963251111734</v>
      </c>
      <c r="Q55" s="16">
        <f t="shared" si="3"/>
        <v>5.1278841613960804</v>
      </c>
    </row>
    <row r="56" spans="1:17" ht="14" x14ac:dyDescent="0.15">
      <c r="A56" s="19">
        <v>45791</v>
      </c>
      <c r="B56" s="16">
        <v>17</v>
      </c>
      <c r="C56" s="16">
        <v>9</v>
      </c>
      <c r="E56" s="23" t="s">
        <v>101</v>
      </c>
      <c r="F56" s="16">
        <v>2250</v>
      </c>
      <c r="G56" s="18">
        <v>3000</v>
      </c>
      <c r="H56" s="3">
        <v>1</v>
      </c>
      <c r="I56" s="16" t="s">
        <v>49</v>
      </c>
      <c r="J56" s="16">
        <v>12.5</v>
      </c>
      <c r="K56" s="16">
        <v>5</v>
      </c>
      <c r="L56" s="3" t="s">
        <v>17</v>
      </c>
      <c r="M56" s="3" t="s">
        <v>17</v>
      </c>
      <c r="N56" s="18" t="s">
        <v>106</v>
      </c>
      <c r="P56" s="16">
        <f t="shared" si="2"/>
        <v>1.3219280948873624</v>
      </c>
      <c r="Q56" s="16">
        <f t="shared" si="3"/>
        <v>3.8114710305298365</v>
      </c>
    </row>
    <row r="57" spans="1:17" ht="14" x14ac:dyDescent="0.15">
      <c r="A57" s="19">
        <v>45791</v>
      </c>
      <c r="B57" s="16">
        <v>17</v>
      </c>
      <c r="C57" s="16">
        <v>9</v>
      </c>
      <c r="E57" s="23" t="s">
        <v>101</v>
      </c>
      <c r="F57" s="16">
        <v>2250</v>
      </c>
      <c r="G57" s="18">
        <v>3000</v>
      </c>
      <c r="H57" s="3">
        <v>2</v>
      </c>
      <c r="I57" s="16" t="s">
        <v>49</v>
      </c>
      <c r="J57" s="16">
        <v>11.1</v>
      </c>
      <c r="K57" s="16">
        <v>5</v>
      </c>
      <c r="L57" s="3" t="s">
        <v>17</v>
      </c>
      <c r="M57" s="3" t="s">
        <v>17</v>
      </c>
      <c r="P57" s="16">
        <f t="shared" si="2"/>
        <v>1.1505596765753812</v>
      </c>
      <c r="Q57" s="16">
        <f t="shared" si="3"/>
        <v>3.8478887003691007</v>
      </c>
    </row>
    <row r="58" spans="1:17" ht="14" x14ac:dyDescent="0.15">
      <c r="A58" s="19">
        <v>45791</v>
      </c>
      <c r="B58" s="16">
        <v>17</v>
      </c>
      <c r="C58" s="16">
        <v>9</v>
      </c>
      <c r="E58" s="23" t="s">
        <v>101</v>
      </c>
      <c r="F58" s="16">
        <v>2250</v>
      </c>
      <c r="G58" s="18">
        <v>3000</v>
      </c>
      <c r="H58" s="3">
        <v>3</v>
      </c>
      <c r="I58" s="16" t="s">
        <v>49</v>
      </c>
      <c r="J58" s="16">
        <v>12.3</v>
      </c>
      <c r="K58" s="16">
        <v>5</v>
      </c>
      <c r="L58" s="3" t="s">
        <v>17</v>
      </c>
      <c r="M58" s="3" t="s">
        <v>17</v>
      </c>
      <c r="P58" s="16">
        <f t="shared" si="2"/>
        <v>1.2986583155645153</v>
      </c>
      <c r="Q58" s="16">
        <f t="shared" si="3"/>
        <v>3.6762818532002424</v>
      </c>
    </row>
    <row r="59" spans="1:17" ht="14" x14ac:dyDescent="0.15">
      <c r="A59" s="19">
        <v>45791</v>
      </c>
      <c r="B59" s="16">
        <v>17</v>
      </c>
      <c r="C59" s="16">
        <v>9</v>
      </c>
      <c r="E59" s="23" t="s">
        <v>102</v>
      </c>
      <c r="F59" s="16">
        <v>1700</v>
      </c>
      <c r="G59" s="16">
        <v>1700</v>
      </c>
      <c r="H59" s="3">
        <v>1</v>
      </c>
      <c r="I59" s="16" t="s">
        <v>49</v>
      </c>
      <c r="J59" s="16">
        <v>10.9</v>
      </c>
      <c r="K59" s="16">
        <v>5</v>
      </c>
      <c r="L59" s="3" t="s">
        <v>17</v>
      </c>
      <c r="M59" s="3" t="s">
        <v>17</v>
      </c>
      <c r="P59" s="16">
        <f t="shared" si="2"/>
        <v>1.1243281350022019</v>
      </c>
      <c r="Q59" s="16">
        <f t="shared" si="3"/>
        <v>3.8924065700186574</v>
      </c>
    </row>
    <row r="60" spans="1:17" ht="14" x14ac:dyDescent="0.15">
      <c r="A60" s="19">
        <v>45791</v>
      </c>
      <c r="B60" s="16">
        <v>17</v>
      </c>
      <c r="C60" s="16">
        <v>9</v>
      </c>
      <c r="E60" s="23" t="s">
        <v>102</v>
      </c>
      <c r="F60" s="16">
        <v>1700</v>
      </c>
      <c r="G60" s="16">
        <v>1700</v>
      </c>
      <c r="H60" s="3">
        <v>2</v>
      </c>
      <c r="I60" s="16" t="s">
        <v>49</v>
      </c>
      <c r="J60" s="16">
        <v>8.84</v>
      </c>
      <c r="K60" s="16">
        <v>5</v>
      </c>
      <c r="L60" s="3" t="s">
        <v>17</v>
      </c>
      <c r="M60" s="3" t="s">
        <v>17</v>
      </c>
      <c r="P60" s="16">
        <f t="shared" si="2"/>
        <v>0.82211827472934462</v>
      </c>
      <c r="Q60" s="16">
        <f t="shared" si="3"/>
        <v>3.545108820217262</v>
      </c>
    </row>
    <row r="61" spans="1:17" ht="14" x14ac:dyDescent="0.15">
      <c r="A61" s="19">
        <v>45791</v>
      </c>
      <c r="B61" s="16">
        <v>17</v>
      </c>
      <c r="C61" s="16">
        <v>9</v>
      </c>
      <c r="E61" s="23" t="s">
        <v>102</v>
      </c>
      <c r="F61" s="16">
        <v>1700</v>
      </c>
      <c r="G61" s="16">
        <v>1700</v>
      </c>
      <c r="H61" s="3">
        <v>3</v>
      </c>
      <c r="I61" s="16" t="s">
        <v>49</v>
      </c>
      <c r="J61" s="16">
        <v>10.8</v>
      </c>
      <c r="K61" s="16">
        <v>5</v>
      </c>
      <c r="L61" s="3" t="s">
        <v>17</v>
      </c>
      <c r="M61" s="3" t="s">
        <v>17</v>
      </c>
      <c r="P61" s="16">
        <f t="shared" si="2"/>
        <v>1.1110313123887441</v>
      </c>
      <c r="Q61" s="16">
        <f t="shared" si="3"/>
        <v>3.8370777688707456</v>
      </c>
    </row>
    <row r="62" spans="1:17" ht="13" x14ac:dyDescent="0.15">
      <c r="A62" s="19">
        <v>45794</v>
      </c>
      <c r="B62" s="16">
        <v>20</v>
      </c>
      <c r="C62" s="16">
        <v>12</v>
      </c>
      <c r="E62" s="16" t="s">
        <v>32</v>
      </c>
      <c r="F62" s="22">
        <v>2.2499999999999999E-4</v>
      </c>
      <c r="G62" s="22">
        <v>2.2499999999999999E-4</v>
      </c>
      <c r="H62" s="3">
        <v>1</v>
      </c>
      <c r="I62" s="16" t="s">
        <v>49</v>
      </c>
      <c r="J62" s="16">
        <v>19.899999999999999</v>
      </c>
      <c r="K62" s="16">
        <v>5</v>
      </c>
      <c r="L62" s="16">
        <v>1</v>
      </c>
      <c r="M62" s="16">
        <v>5</v>
      </c>
      <c r="P62" s="16">
        <f t="shared" si="2"/>
        <v>1.9927684307689242</v>
      </c>
      <c r="Q62" s="16">
        <f t="shared" si="3"/>
        <v>7.6836447465159976</v>
      </c>
    </row>
    <row r="63" spans="1:17" ht="13" x14ac:dyDescent="0.15">
      <c r="A63" s="19">
        <v>45794</v>
      </c>
      <c r="B63" s="16">
        <v>20</v>
      </c>
      <c r="C63" s="16">
        <v>12</v>
      </c>
      <c r="E63" s="16" t="s">
        <v>32</v>
      </c>
      <c r="F63" s="22">
        <v>2.2499999999999999E-4</v>
      </c>
      <c r="G63" s="22">
        <v>2.2499999999999999E-4</v>
      </c>
      <c r="H63" s="3">
        <v>2</v>
      </c>
      <c r="I63" s="16" t="s">
        <v>49</v>
      </c>
      <c r="J63" s="16">
        <v>21</v>
      </c>
      <c r="K63" s="16">
        <v>5</v>
      </c>
      <c r="L63" s="16">
        <v>1</v>
      </c>
      <c r="M63" s="16">
        <v>5</v>
      </c>
      <c r="P63" s="16">
        <f t="shared" si="2"/>
        <v>2.0703893278913981</v>
      </c>
      <c r="Q63" s="16">
        <f t="shared" si="3"/>
        <v>7.6609731443695654</v>
      </c>
    </row>
    <row r="64" spans="1:17" ht="13" x14ac:dyDescent="0.15">
      <c r="A64" s="19">
        <v>45794</v>
      </c>
      <c r="B64" s="16">
        <v>20</v>
      </c>
      <c r="C64" s="16">
        <v>12</v>
      </c>
      <c r="E64" s="16" t="s">
        <v>32</v>
      </c>
      <c r="F64" s="22">
        <v>2.2499999999999999E-4</v>
      </c>
      <c r="G64" s="22">
        <v>2.2499999999999999E-4</v>
      </c>
      <c r="H64" s="3">
        <v>3</v>
      </c>
      <c r="I64" s="16" t="s">
        <v>49</v>
      </c>
      <c r="J64" s="16">
        <v>17</v>
      </c>
      <c r="K64" s="16">
        <v>5</v>
      </c>
      <c r="L64" s="16">
        <v>1</v>
      </c>
      <c r="M64" s="16">
        <v>5</v>
      </c>
      <c r="P64" s="16">
        <f t="shared" si="2"/>
        <v>1.7655347463629771</v>
      </c>
      <c r="Q64" s="16">
        <f t="shared" si="3"/>
        <v>7.3807626899418031</v>
      </c>
    </row>
    <row r="65" spans="1:17" ht="13" x14ac:dyDescent="0.15">
      <c r="A65" s="19">
        <v>45794</v>
      </c>
      <c r="B65" s="16">
        <v>20</v>
      </c>
      <c r="C65" s="16">
        <v>12</v>
      </c>
      <c r="E65" s="23" t="s">
        <v>100</v>
      </c>
      <c r="F65" s="16">
        <v>130</v>
      </c>
      <c r="G65" s="18">
        <v>520</v>
      </c>
      <c r="H65" s="3">
        <v>1</v>
      </c>
      <c r="I65" s="16" t="s">
        <v>49</v>
      </c>
      <c r="J65" s="16">
        <v>10.3</v>
      </c>
      <c r="K65" s="16">
        <v>5</v>
      </c>
      <c r="L65" s="16">
        <v>1</v>
      </c>
      <c r="M65" s="16">
        <v>5</v>
      </c>
      <c r="N65" s="18" t="s">
        <v>107</v>
      </c>
      <c r="P65" s="16">
        <f t="shared" si="2"/>
        <v>1.0426443374084939</v>
      </c>
      <c r="Q65" s="16">
        <f t="shared" si="3"/>
        <v>6.196342034696106</v>
      </c>
    </row>
    <row r="66" spans="1:17" ht="13" x14ac:dyDescent="0.15">
      <c r="A66" s="19">
        <v>45794</v>
      </c>
      <c r="B66" s="16">
        <v>20</v>
      </c>
      <c r="C66" s="16">
        <v>12</v>
      </c>
      <c r="E66" s="23" t="s">
        <v>100</v>
      </c>
      <c r="F66" s="16">
        <v>130</v>
      </c>
      <c r="G66" s="18">
        <v>520</v>
      </c>
      <c r="H66" s="3">
        <v>2</v>
      </c>
      <c r="I66" s="16" t="s">
        <v>49</v>
      </c>
      <c r="J66" s="16">
        <v>8.94</v>
      </c>
      <c r="K66" s="16">
        <v>5</v>
      </c>
      <c r="L66" s="16">
        <v>1</v>
      </c>
      <c r="M66" s="16">
        <v>5</v>
      </c>
      <c r="P66" s="16">
        <f t="shared" si="2"/>
        <v>0.8383467365212306</v>
      </c>
      <c r="Q66" s="16">
        <f t="shared" si="3"/>
        <v>5.606753404500469</v>
      </c>
    </row>
    <row r="67" spans="1:17" ht="13" x14ac:dyDescent="0.15">
      <c r="A67" s="19">
        <v>45794</v>
      </c>
      <c r="B67" s="16">
        <v>20</v>
      </c>
      <c r="C67" s="16">
        <v>12</v>
      </c>
      <c r="E67" s="23" t="s">
        <v>100</v>
      </c>
      <c r="F67" s="16">
        <v>130</v>
      </c>
      <c r="G67" s="18">
        <v>520</v>
      </c>
      <c r="H67" s="3">
        <v>3</v>
      </c>
      <c r="I67" s="16" t="s">
        <v>49</v>
      </c>
      <c r="J67" s="16">
        <v>6.5</v>
      </c>
      <c r="K67" s="16">
        <v>5</v>
      </c>
      <c r="L67" s="16">
        <v>1</v>
      </c>
      <c r="M67" s="16">
        <v>5</v>
      </c>
      <c r="P67" s="16">
        <f t="shared" si="2"/>
        <v>0.37851162325372983</v>
      </c>
      <c r="Q67" s="16">
        <f t="shared" si="3"/>
        <v>5.5063957846498104</v>
      </c>
    </row>
    <row r="68" spans="1:17" ht="13" x14ac:dyDescent="0.15">
      <c r="A68" s="19">
        <v>45794</v>
      </c>
      <c r="B68" s="16">
        <v>20</v>
      </c>
      <c r="C68" s="16">
        <v>12</v>
      </c>
      <c r="E68" s="23" t="s">
        <v>101</v>
      </c>
      <c r="F68" s="16">
        <v>2250</v>
      </c>
      <c r="G68" s="18">
        <v>3000</v>
      </c>
      <c r="H68" s="3">
        <v>1</v>
      </c>
      <c r="I68" s="16" t="s">
        <v>49</v>
      </c>
      <c r="J68" s="16">
        <v>8.9</v>
      </c>
      <c r="K68" s="16">
        <v>5</v>
      </c>
      <c r="L68" s="16">
        <v>1</v>
      </c>
      <c r="M68" s="16">
        <v>5</v>
      </c>
      <c r="P68" s="16">
        <f t="shared" si="2"/>
        <v>0.83187724119167306</v>
      </c>
      <c r="Q68" s="16">
        <f t="shared" si="3"/>
        <v>4.6433482717215098</v>
      </c>
    </row>
    <row r="69" spans="1:17" ht="13" x14ac:dyDescent="0.15">
      <c r="A69" s="19">
        <v>45794</v>
      </c>
      <c r="B69" s="16">
        <v>20</v>
      </c>
      <c r="C69" s="16">
        <v>12</v>
      </c>
      <c r="E69" s="23" t="s">
        <v>101</v>
      </c>
      <c r="F69" s="16">
        <v>2250</v>
      </c>
      <c r="G69" s="18">
        <v>3000</v>
      </c>
      <c r="H69" s="3">
        <v>2</v>
      </c>
      <c r="I69" s="16" t="s">
        <v>49</v>
      </c>
      <c r="J69" s="16">
        <v>10.5</v>
      </c>
      <c r="K69" s="16">
        <v>5</v>
      </c>
      <c r="L69" s="16">
        <v>1</v>
      </c>
      <c r="M69" s="16">
        <v>5</v>
      </c>
      <c r="P69" s="16">
        <f t="shared" si="2"/>
        <v>1.0703893278913981</v>
      </c>
      <c r="Q69" s="16">
        <f t="shared" si="3"/>
        <v>4.9182780282604988</v>
      </c>
    </row>
    <row r="70" spans="1:17" ht="13" x14ac:dyDescent="0.15">
      <c r="A70" s="19">
        <v>45794</v>
      </c>
      <c r="B70" s="16">
        <v>20</v>
      </c>
      <c r="C70" s="16">
        <v>12</v>
      </c>
      <c r="E70" s="23" t="s">
        <v>101</v>
      </c>
      <c r="F70" s="16">
        <v>2250</v>
      </c>
      <c r="G70" s="18">
        <v>3000</v>
      </c>
      <c r="H70" s="3">
        <v>3</v>
      </c>
      <c r="I70" s="16" t="s">
        <v>49</v>
      </c>
      <c r="J70" s="16">
        <v>9.7200000000000006</v>
      </c>
      <c r="K70" s="16">
        <v>5</v>
      </c>
      <c r="L70" s="16">
        <v>1</v>
      </c>
      <c r="M70" s="16">
        <v>5</v>
      </c>
      <c r="P70" s="16">
        <f t="shared" si="2"/>
        <v>0.95902821894369394</v>
      </c>
      <c r="Q70" s="16">
        <f t="shared" si="3"/>
        <v>4.6353100721439366</v>
      </c>
    </row>
    <row r="71" spans="1:17" ht="13" x14ac:dyDescent="0.15">
      <c r="A71" s="19">
        <v>45794</v>
      </c>
      <c r="B71" s="16">
        <v>20</v>
      </c>
      <c r="C71" s="16">
        <v>12</v>
      </c>
      <c r="E71" s="23" t="s">
        <v>102</v>
      </c>
      <c r="F71" s="16">
        <v>1700</v>
      </c>
      <c r="G71" s="16">
        <v>1700</v>
      </c>
      <c r="H71" s="3">
        <v>1</v>
      </c>
      <c r="I71" s="16" t="s">
        <v>49</v>
      </c>
      <c r="J71" s="16">
        <v>10.5</v>
      </c>
      <c r="K71" s="16">
        <v>5</v>
      </c>
      <c r="L71" s="16">
        <v>1</v>
      </c>
      <c r="M71" s="16">
        <v>5</v>
      </c>
      <c r="P71" s="16">
        <f t="shared" si="2"/>
        <v>1.0703893278913981</v>
      </c>
      <c r="Q71" s="16">
        <f t="shared" si="3"/>
        <v>4.9627958979100555</v>
      </c>
    </row>
    <row r="72" spans="1:17" ht="13" x14ac:dyDescent="0.15">
      <c r="A72" s="19">
        <v>45794</v>
      </c>
      <c r="B72" s="16">
        <v>20</v>
      </c>
      <c r="C72" s="16">
        <v>12</v>
      </c>
      <c r="E72" s="23" t="s">
        <v>102</v>
      </c>
      <c r="F72" s="16">
        <v>1700</v>
      </c>
      <c r="G72" s="16">
        <v>1700</v>
      </c>
      <c r="H72" s="3">
        <v>2</v>
      </c>
      <c r="I72" s="16" t="s">
        <v>49</v>
      </c>
      <c r="J72" s="16">
        <v>11.1</v>
      </c>
      <c r="K72" s="16">
        <v>5</v>
      </c>
      <c r="L72" s="16">
        <v>1</v>
      </c>
      <c r="M72" s="16">
        <v>5</v>
      </c>
      <c r="P72" s="16">
        <f t="shared" si="2"/>
        <v>1.1505596765753812</v>
      </c>
      <c r="Q72" s="16">
        <f t="shared" si="3"/>
        <v>4.695668496792643</v>
      </c>
    </row>
    <row r="73" spans="1:17" ht="13" x14ac:dyDescent="0.15">
      <c r="A73" s="19">
        <v>45794</v>
      </c>
      <c r="B73" s="16">
        <v>20</v>
      </c>
      <c r="C73" s="16">
        <v>12</v>
      </c>
      <c r="E73" s="23" t="s">
        <v>102</v>
      </c>
      <c r="F73" s="16">
        <v>1700</v>
      </c>
      <c r="G73" s="16">
        <v>1700</v>
      </c>
      <c r="H73" s="3">
        <v>3</v>
      </c>
      <c r="I73" s="16" t="s">
        <v>49</v>
      </c>
      <c r="J73" s="16">
        <v>9.5299999999999994</v>
      </c>
      <c r="K73" s="16">
        <v>5</v>
      </c>
      <c r="L73" s="16">
        <v>1</v>
      </c>
      <c r="M73" s="16">
        <v>5</v>
      </c>
      <c r="P73" s="16">
        <f t="shared" si="2"/>
        <v>0.93054811924785485</v>
      </c>
      <c r="Q73" s="16">
        <f t="shared" si="3"/>
        <v>4.7676258881186007</v>
      </c>
    </row>
    <row r="74" spans="1:17" ht="13" x14ac:dyDescent="0.15">
      <c r="A74" s="19">
        <v>45797</v>
      </c>
      <c r="B74" s="16">
        <v>23</v>
      </c>
      <c r="C74" s="16">
        <v>15</v>
      </c>
      <c r="E74" s="16" t="s">
        <v>32</v>
      </c>
      <c r="F74" s="22">
        <v>2.2499999999999999E-4</v>
      </c>
      <c r="G74" s="22">
        <v>2.2499999999999999E-4</v>
      </c>
      <c r="H74" s="3">
        <v>1</v>
      </c>
      <c r="I74" s="16" t="s">
        <v>49</v>
      </c>
      <c r="J74" s="16">
        <v>17.8</v>
      </c>
      <c r="K74" s="16">
        <v>5</v>
      </c>
      <c r="L74" s="16">
        <v>1</v>
      </c>
      <c r="M74" s="16">
        <v>5</v>
      </c>
      <c r="P74" s="16">
        <f t="shared" si="2"/>
        <v>1.8318772411916731</v>
      </c>
      <c r="Q74" s="16">
        <f t="shared" si="3"/>
        <v>9.51552198770767</v>
      </c>
    </row>
    <row r="75" spans="1:17" ht="13" x14ac:dyDescent="0.15">
      <c r="A75" s="19">
        <v>45797</v>
      </c>
      <c r="B75" s="16">
        <v>23</v>
      </c>
      <c r="C75" s="16">
        <v>15</v>
      </c>
      <c r="E75" s="16" t="s">
        <v>32</v>
      </c>
      <c r="F75" s="22">
        <v>2.2499999999999999E-4</v>
      </c>
      <c r="G75" s="22">
        <v>2.2499999999999999E-4</v>
      </c>
      <c r="H75" s="3">
        <v>2</v>
      </c>
      <c r="I75" s="16" t="s">
        <v>49</v>
      </c>
      <c r="J75" s="16">
        <v>19.3</v>
      </c>
      <c r="K75" s="16">
        <v>5</v>
      </c>
      <c r="L75" s="16">
        <v>1</v>
      </c>
      <c r="M75" s="16">
        <v>5</v>
      </c>
      <c r="P75" s="16">
        <f t="shared" si="2"/>
        <v>1.948600847493356</v>
      </c>
      <c r="Q75" s="16">
        <f t="shared" si="3"/>
        <v>9.6095739918629217</v>
      </c>
    </row>
    <row r="76" spans="1:17" ht="13" x14ac:dyDescent="0.15">
      <c r="A76" s="19">
        <v>45797</v>
      </c>
      <c r="B76" s="16">
        <v>23</v>
      </c>
      <c r="C76" s="16">
        <v>15</v>
      </c>
      <c r="E76" s="16" t="s">
        <v>32</v>
      </c>
      <c r="F76" s="22">
        <v>2.2499999999999999E-4</v>
      </c>
      <c r="G76" s="22">
        <v>2.2499999999999999E-4</v>
      </c>
      <c r="H76" s="3">
        <v>3</v>
      </c>
      <c r="I76" s="16" t="s">
        <v>49</v>
      </c>
      <c r="J76" s="16">
        <v>18.100000000000001</v>
      </c>
      <c r="K76" s="16">
        <v>5</v>
      </c>
      <c r="L76" s="16">
        <v>1</v>
      </c>
      <c r="M76" s="16">
        <v>5</v>
      </c>
      <c r="P76" s="16">
        <f t="shared" si="2"/>
        <v>1.8559896973084806</v>
      </c>
      <c r="Q76" s="16">
        <f t="shared" si="3"/>
        <v>9.2367523872502844</v>
      </c>
    </row>
    <row r="77" spans="1:17" ht="14" x14ac:dyDescent="0.15">
      <c r="A77" s="19">
        <v>45797</v>
      </c>
      <c r="B77" s="16">
        <v>23</v>
      </c>
      <c r="C77" s="16">
        <v>15</v>
      </c>
      <c r="E77" s="23" t="s">
        <v>100</v>
      </c>
      <c r="F77" s="16">
        <v>130</v>
      </c>
      <c r="G77" s="18">
        <v>0</v>
      </c>
      <c r="H77" s="3">
        <v>1</v>
      </c>
      <c r="I77" s="16" t="s">
        <v>49</v>
      </c>
      <c r="J77" s="16">
        <v>2.63</v>
      </c>
      <c r="K77" s="16">
        <v>2.63</v>
      </c>
      <c r="L77" s="3" t="s">
        <v>17</v>
      </c>
      <c r="M77" s="3" t="s">
        <v>17</v>
      </c>
      <c r="N77" s="18" t="s">
        <v>108</v>
      </c>
      <c r="P77" s="16">
        <f t="shared" si="2"/>
        <v>-0.92686529536978468</v>
      </c>
      <c r="Q77" s="16">
        <f t="shared" si="3"/>
        <v>5.2694767393263211</v>
      </c>
    </row>
    <row r="78" spans="1:17" ht="14" x14ac:dyDescent="0.15">
      <c r="A78" s="19">
        <v>45797</v>
      </c>
      <c r="B78" s="16">
        <v>23</v>
      </c>
      <c r="C78" s="16">
        <v>15</v>
      </c>
      <c r="E78" s="23" t="s">
        <v>100</v>
      </c>
      <c r="F78" s="16">
        <v>130</v>
      </c>
      <c r="G78" s="18">
        <v>0</v>
      </c>
      <c r="H78" s="3">
        <v>2</v>
      </c>
      <c r="I78" s="16" t="s">
        <v>49</v>
      </c>
      <c r="J78" s="16">
        <v>2.81</v>
      </c>
      <c r="K78" s="16">
        <v>2.81</v>
      </c>
      <c r="L78" s="3" t="s">
        <v>17</v>
      </c>
      <c r="M78" s="3" t="s">
        <v>17</v>
      </c>
      <c r="P78" s="16">
        <f t="shared" si="2"/>
        <v>-0.83135796444116083</v>
      </c>
      <c r="Q78" s="16">
        <f t="shared" si="3"/>
        <v>4.7753954400593077</v>
      </c>
    </row>
    <row r="79" spans="1:17" ht="14" x14ac:dyDescent="0.15">
      <c r="A79" s="19">
        <v>45797</v>
      </c>
      <c r="B79" s="16">
        <v>23</v>
      </c>
      <c r="C79" s="16">
        <v>15</v>
      </c>
      <c r="E79" s="23" t="s">
        <v>100</v>
      </c>
      <c r="F79" s="16">
        <v>130</v>
      </c>
      <c r="G79" s="18">
        <v>0</v>
      </c>
      <c r="H79" s="3">
        <v>3</v>
      </c>
      <c r="I79" s="16" t="s">
        <v>49</v>
      </c>
      <c r="J79" s="16">
        <v>2.81</v>
      </c>
      <c r="K79" s="16">
        <v>2.81</v>
      </c>
      <c r="L79" s="3" t="s">
        <v>17</v>
      </c>
      <c r="M79" s="3" t="s">
        <v>17</v>
      </c>
      <c r="P79" s="16">
        <f t="shared" si="2"/>
        <v>-0.83135796444116083</v>
      </c>
      <c r="Q79" s="16">
        <f t="shared" si="3"/>
        <v>4.6750378202086491</v>
      </c>
    </row>
    <row r="80" spans="1:17" ht="13" x14ac:dyDescent="0.15">
      <c r="A80" s="19">
        <v>45797</v>
      </c>
      <c r="B80" s="16">
        <v>23</v>
      </c>
      <c r="C80" s="16">
        <v>15</v>
      </c>
      <c r="E80" s="23" t="s">
        <v>101</v>
      </c>
      <c r="F80" s="16">
        <v>2250</v>
      </c>
      <c r="G80" s="18">
        <v>3000</v>
      </c>
      <c r="H80" s="3">
        <v>1</v>
      </c>
      <c r="I80" s="16" t="s">
        <v>49</v>
      </c>
      <c r="J80" s="16">
        <v>8.9600000000000009</v>
      </c>
      <c r="K80" s="16">
        <v>5</v>
      </c>
      <c r="L80" s="16">
        <v>1</v>
      </c>
      <c r="M80" s="16">
        <v>5</v>
      </c>
      <c r="P80" s="16">
        <f t="shared" si="2"/>
        <v>0.84157063739551741</v>
      </c>
      <c r="Q80" s="16">
        <f t="shared" si="3"/>
        <v>5.4849189091170274</v>
      </c>
    </row>
    <row r="81" spans="1:17" ht="13" x14ac:dyDescent="0.15">
      <c r="A81" s="19">
        <v>45797</v>
      </c>
      <c r="B81" s="16">
        <v>23</v>
      </c>
      <c r="C81" s="16">
        <v>15</v>
      </c>
      <c r="E81" s="23" t="s">
        <v>101</v>
      </c>
      <c r="F81" s="16">
        <v>2250</v>
      </c>
      <c r="G81" s="18">
        <v>3000</v>
      </c>
      <c r="H81" s="3">
        <v>2</v>
      </c>
      <c r="I81" s="16" t="s">
        <v>49</v>
      </c>
      <c r="J81" s="16">
        <v>7.99</v>
      </c>
      <c r="K81" s="16">
        <v>5</v>
      </c>
      <c r="L81" s="16">
        <v>1</v>
      </c>
      <c r="M81" s="16">
        <v>5</v>
      </c>
      <c r="P81" s="16">
        <f t="shared" si="2"/>
        <v>0.67626740826588982</v>
      </c>
      <c r="Q81" s="16">
        <f t="shared" si="3"/>
        <v>5.5945454365263885</v>
      </c>
    </row>
    <row r="82" spans="1:17" ht="13" x14ac:dyDescent="0.15">
      <c r="A82" s="19">
        <v>45797</v>
      </c>
      <c r="B82" s="16">
        <v>23</v>
      </c>
      <c r="C82" s="16">
        <v>15</v>
      </c>
      <c r="E82" s="23" t="s">
        <v>101</v>
      </c>
      <c r="F82" s="16">
        <v>2250</v>
      </c>
      <c r="G82" s="18">
        <v>3000</v>
      </c>
      <c r="H82" s="3">
        <v>3</v>
      </c>
      <c r="I82" s="16" t="s">
        <v>49</v>
      </c>
      <c r="J82" s="16">
        <v>9.16</v>
      </c>
      <c r="K82" s="16">
        <v>5</v>
      </c>
      <c r="L82" s="16">
        <v>1</v>
      </c>
      <c r="M82" s="16">
        <v>5</v>
      </c>
      <c r="P82" s="16">
        <f t="shared" si="2"/>
        <v>0.87341950343485697</v>
      </c>
      <c r="Q82" s="16">
        <f t="shared" si="3"/>
        <v>5.5087295755787933</v>
      </c>
    </row>
    <row r="83" spans="1:17" ht="13" x14ac:dyDescent="0.15">
      <c r="A83" s="19">
        <v>45797</v>
      </c>
      <c r="B83" s="16">
        <v>23</v>
      </c>
      <c r="C83" s="16">
        <v>15</v>
      </c>
      <c r="E83" s="23" t="s">
        <v>102</v>
      </c>
      <c r="F83" s="16">
        <v>1700</v>
      </c>
      <c r="G83" s="16">
        <v>1700</v>
      </c>
      <c r="H83" s="3">
        <v>1</v>
      </c>
      <c r="I83" s="16" t="s">
        <v>49</v>
      </c>
      <c r="J83" s="16">
        <v>10</v>
      </c>
      <c r="K83" s="16">
        <v>5</v>
      </c>
      <c r="L83" s="16">
        <v>1</v>
      </c>
      <c r="M83" s="16">
        <v>5</v>
      </c>
      <c r="P83" s="16">
        <f t="shared" si="2"/>
        <v>1</v>
      </c>
      <c r="Q83" s="16">
        <f t="shared" si="3"/>
        <v>5.9627958979100555</v>
      </c>
    </row>
    <row r="84" spans="1:17" ht="13" x14ac:dyDescent="0.15">
      <c r="A84" s="19">
        <v>45797</v>
      </c>
      <c r="B84" s="16">
        <v>23</v>
      </c>
      <c r="C84" s="16">
        <v>15</v>
      </c>
      <c r="E84" s="23" t="s">
        <v>102</v>
      </c>
      <c r="F84" s="16">
        <v>1700</v>
      </c>
      <c r="G84" s="16">
        <v>1700</v>
      </c>
      <c r="H84" s="3">
        <v>2</v>
      </c>
      <c r="I84" s="16" t="s">
        <v>49</v>
      </c>
      <c r="J84" s="16">
        <v>10.6</v>
      </c>
      <c r="K84" s="16">
        <v>5</v>
      </c>
      <c r="L84" s="16">
        <v>1</v>
      </c>
      <c r="M84" s="16">
        <v>5</v>
      </c>
      <c r="P84" s="16">
        <f t="shared" si="2"/>
        <v>1.0840642647884746</v>
      </c>
      <c r="Q84" s="16">
        <f t="shared" si="3"/>
        <v>5.7797327615811174</v>
      </c>
    </row>
    <row r="85" spans="1:17" ht="13" x14ac:dyDescent="0.15">
      <c r="A85" s="19">
        <v>45797</v>
      </c>
      <c r="B85" s="16">
        <v>23</v>
      </c>
      <c r="C85" s="16">
        <v>15</v>
      </c>
      <c r="E85" s="23" t="s">
        <v>102</v>
      </c>
      <c r="F85" s="16">
        <v>1700</v>
      </c>
      <c r="G85" s="16">
        <v>1700</v>
      </c>
      <c r="H85" s="3">
        <v>3</v>
      </c>
      <c r="I85" s="16" t="s">
        <v>49</v>
      </c>
      <c r="J85" s="16">
        <v>11</v>
      </c>
      <c r="K85" s="16">
        <v>5</v>
      </c>
      <c r="L85" s="16">
        <v>1</v>
      </c>
      <c r="M85" s="16">
        <v>5</v>
      </c>
      <c r="P85" s="16">
        <f t="shared" si="2"/>
        <v>1.1375035237499351</v>
      </c>
      <c r="Q85" s="16">
        <f t="shared" si="3"/>
        <v>5.9051294118685362</v>
      </c>
    </row>
    <row r="86" spans="1:17" ht="13" x14ac:dyDescent="0.15">
      <c r="A86" s="19">
        <v>45800</v>
      </c>
      <c r="B86" s="16">
        <v>26</v>
      </c>
      <c r="C86" s="16">
        <v>18</v>
      </c>
      <c r="E86" s="16" t="s">
        <v>32</v>
      </c>
      <c r="F86" s="22">
        <v>2.2499999999999999E-4</v>
      </c>
      <c r="G86" s="22">
        <v>2.2499999999999999E-4</v>
      </c>
      <c r="H86" s="3">
        <v>1</v>
      </c>
      <c r="I86" s="16" t="s">
        <v>49</v>
      </c>
      <c r="J86" s="16">
        <v>18.5</v>
      </c>
      <c r="K86" s="16">
        <v>5</v>
      </c>
      <c r="L86" s="16">
        <v>1</v>
      </c>
      <c r="M86" s="16">
        <v>5</v>
      </c>
      <c r="P86" s="16">
        <f t="shared" si="2"/>
        <v>1.8875252707415877</v>
      </c>
      <c r="Q86" s="16">
        <f t="shared" si="3"/>
        <v>11.403047258449257</v>
      </c>
    </row>
    <row r="87" spans="1:17" ht="13" x14ac:dyDescent="0.15">
      <c r="A87" s="19">
        <v>45800</v>
      </c>
      <c r="B87" s="16">
        <v>26</v>
      </c>
      <c r="C87" s="16">
        <v>18</v>
      </c>
      <c r="E87" s="16" t="s">
        <v>32</v>
      </c>
      <c r="F87" s="22">
        <v>2.2499999999999999E-4</v>
      </c>
      <c r="G87" s="22">
        <v>2.2499999999999999E-4</v>
      </c>
      <c r="H87" s="3">
        <v>2</v>
      </c>
      <c r="I87" s="16" t="s">
        <v>49</v>
      </c>
      <c r="J87" s="16">
        <v>19.2</v>
      </c>
      <c r="K87" s="16">
        <v>5</v>
      </c>
      <c r="L87" s="16">
        <v>1</v>
      </c>
      <c r="M87" s="16">
        <v>5</v>
      </c>
      <c r="P87" s="16">
        <f t="shared" si="2"/>
        <v>1.9411063109464317</v>
      </c>
      <c r="Q87" s="16">
        <f t="shared" si="3"/>
        <v>11.550680302809354</v>
      </c>
    </row>
    <row r="88" spans="1:17" ht="13" x14ac:dyDescent="0.15">
      <c r="A88" s="19">
        <v>45800</v>
      </c>
      <c r="B88" s="16">
        <v>26</v>
      </c>
      <c r="C88" s="16">
        <v>18</v>
      </c>
      <c r="E88" s="16" t="s">
        <v>32</v>
      </c>
      <c r="F88" s="22">
        <v>2.2499999999999999E-4</v>
      </c>
      <c r="G88" s="22">
        <v>2.2499999999999999E-4</v>
      </c>
      <c r="H88" s="3">
        <v>3</v>
      </c>
      <c r="I88" s="16" t="s">
        <v>49</v>
      </c>
      <c r="J88" s="16">
        <v>18.399999999999999</v>
      </c>
      <c r="K88" s="16">
        <v>5</v>
      </c>
      <c r="L88" s="16">
        <v>1</v>
      </c>
      <c r="M88" s="16">
        <v>5</v>
      </c>
      <c r="P88" s="16">
        <f t="shared" si="2"/>
        <v>1.879705766282288</v>
      </c>
      <c r="Q88" s="16">
        <f t="shared" si="3"/>
        <v>11.116458153532573</v>
      </c>
    </row>
    <row r="89" spans="1:17" ht="14" x14ac:dyDescent="0.15">
      <c r="A89" s="19">
        <v>45800</v>
      </c>
      <c r="B89" s="16">
        <v>26</v>
      </c>
      <c r="C89" s="16">
        <v>18</v>
      </c>
      <c r="E89" s="23" t="s">
        <v>100</v>
      </c>
      <c r="F89" s="16">
        <v>130</v>
      </c>
      <c r="G89" s="18">
        <v>130</v>
      </c>
      <c r="H89" s="3">
        <v>1</v>
      </c>
      <c r="I89" s="16" t="s">
        <v>49</v>
      </c>
      <c r="J89" s="16">
        <v>6.29</v>
      </c>
      <c r="K89" s="16">
        <v>5</v>
      </c>
      <c r="L89" s="3" t="s">
        <v>17</v>
      </c>
      <c r="M89" s="3" t="s">
        <v>17</v>
      </c>
      <c r="N89" s="18" t="s">
        <v>109</v>
      </c>
      <c r="P89" s="16">
        <f t="shared" si="2"/>
        <v>1.2579972175869869</v>
      </c>
      <c r="Q89" s="16">
        <f t="shared" si="3"/>
        <v>6.5274739569133082</v>
      </c>
    </row>
    <row r="90" spans="1:17" ht="14" x14ac:dyDescent="0.15">
      <c r="A90" s="19">
        <v>45800</v>
      </c>
      <c r="B90" s="16">
        <v>26</v>
      </c>
      <c r="C90" s="16">
        <v>18</v>
      </c>
      <c r="E90" s="23" t="s">
        <v>100</v>
      </c>
      <c r="F90" s="16">
        <v>130</v>
      </c>
      <c r="G90" s="18">
        <v>130</v>
      </c>
      <c r="H90" s="3">
        <v>2</v>
      </c>
      <c r="I90" s="16" t="s">
        <v>49</v>
      </c>
      <c r="J90" s="16">
        <v>7.58</v>
      </c>
      <c r="K90" s="16">
        <v>5</v>
      </c>
      <c r="L90" s="3" t="s">
        <v>17</v>
      </c>
      <c r="M90" s="3" t="s">
        <v>17</v>
      </c>
      <c r="P90" s="16">
        <f t="shared" si="2"/>
        <v>1.4316277179501655</v>
      </c>
      <c r="Q90" s="16">
        <f t="shared" si="3"/>
        <v>6.2070231580094735</v>
      </c>
    </row>
    <row r="91" spans="1:17" ht="14" x14ac:dyDescent="0.15">
      <c r="A91" s="19">
        <v>45800</v>
      </c>
      <c r="B91" s="16">
        <v>26</v>
      </c>
      <c r="C91" s="16">
        <v>18</v>
      </c>
      <c r="E91" s="23" t="s">
        <v>100</v>
      </c>
      <c r="F91" s="16">
        <v>130</v>
      </c>
      <c r="G91" s="18">
        <v>130</v>
      </c>
      <c r="H91" s="3">
        <v>3</v>
      </c>
      <c r="I91" s="16" t="s">
        <v>49</v>
      </c>
      <c r="J91" s="16">
        <v>7.47</v>
      </c>
      <c r="K91" s="16">
        <v>5</v>
      </c>
      <c r="L91" s="3" t="s">
        <v>17</v>
      </c>
      <c r="M91" s="3" t="s">
        <v>17</v>
      </c>
      <c r="P91" s="16">
        <f t="shared" si="2"/>
        <v>1.410538112568311</v>
      </c>
      <c r="Q91" s="16">
        <f t="shared" si="3"/>
        <v>6.0855759327769601</v>
      </c>
    </row>
    <row r="92" spans="1:17" ht="14" x14ac:dyDescent="0.15">
      <c r="A92" s="19">
        <v>45800</v>
      </c>
      <c r="B92" s="16">
        <v>26</v>
      </c>
      <c r="C92" s="16">
        <v>18</v>
      </c>
      <c r="E92" s="23" t="s">
        <v>101</v>
      </c>
      <c r="F92" s="16">
        <v>2250</v>
      </c>
      <c r="G92" s="18">
        <v>3000</v>
      </c>
      <c r="H92" s="3">
        <v>1</v>
      </c>
      <c r="I92" s="16" t="s">
        <v>49</v>
      </c>
      <c r="J92" s="16">
        <v>7.79</v>
      </c>
      <c r="K92" s="16">
        <v>5</v>
      </c>
      <c r="L92" s="3" t="s">
        <v>17</v>
      </c>
      <c r="M92" s="3" t="s">
        <v>17</v>
      </c>
      <c r="P92" s="16">
        <f t="shared" si="2"/>
        <v>0.63969523339958223</v>
      </c>
      <c r="Q92" s="16">
        <f t="shared" si="3"/>
        <v>6.1246141425166094</v>
      </c>
    </row>
    <row r="93" spans="1:17" ht="14" x14ac:dyDescent="0.15">
      <c r="A93" s="19">
        <v>45800</v>
      </c>
      <c r="B93" s="16">
        <v>26</v>
      </c>
      <c r="C93" s="16">
        <v>18</v>
      </c>
      <c r="E93" s="23" t="s">
        <v>101</v>
      </c>
      <c r="F93" s="16">
        <v>2250</v>
      </c>
      <c r="G93" s="18">
        <v>3000</v>
      </c>
      <c r="H93" s="3">
        <v>2</v>
      </c>
      <c r="I93" s="16" t="s">
        <v>49</v>
      </c>
      <c r="J93" s="16">
        <v>7.41</v>
      </c>
      <c r="K93" s="16">
        <v>5</v>
      </c>
      <c r="L93" s="3" t="s">
        <v>17</v>
      </c>
      <c r="M93" s="3" t="s">
        <v>17</v>
      </c>
      <c r="P93" s="16">
        <f t="shared" si="2"/>
        <v>0.56754544764374681</v>
      </c>
      <c r="Q93" s="16">
        <f t="shared" si="3"/>
        <v>6.1620908841701354</v>
      </c>
    </row>
    <row r="94" spans="1:17" ht="14" x14ac:dyDescent="0.15">
      <c r="A94" s="19">
        <v>45800</v>
      </c>
      <c r="B94" s="16">
        <v>26</v>
      </c>
      <c r="C94" s="16">
        <v>18</v>
      </c>
      <c r="E94" s="23" t="s">
        <v>101</v>
      </c>
      <c r="F94" s="16">
        <v>2250</v>
      </c>
      <c r="G94" s="18">
        <v>3000</v>
      </c>
      <c r="H94" s="3">
        <v>3</v>
      </c>
      <c r="I94" s="16" t="s">
        <v>49</v>
      </c>
      <c r="J94" s="16">
        <v>7.52</v>
      </c>
      <c r="K94" s="16">
        <v>5</v>
      </c>
      <c r="L94" s="3" t="s">
        <v>17</v>
      </c>
      <c r="M94" s="3" t="s">
        <v>17</v>
      </c>
      <c r="P94" s="16">
        <f t="shared" si="2"/>
        <v>0.5888045670155504</v>
      </c>
      <c r="Q94" s="16">
        <f t="shared" si="3"/>
        <v>6.0975341425943439</v>
      </c>
    </row>
    <row r="95" spans="1:17" ht="13" x14ac:dyDescent="0.15">
      <c r="A95" s="19">
        <v>45800</v>
      </c>
      <c r="B95" s="16">
        <v>26</v>
      </c>
      <c r="C95" s="16">
        <v>18</v>
      </c>
      <c r="E95" s="23" t="s">
        <v>102</v>
      </c>
      <c r="F95" s="16">
        <v>1700</v>
      </c>
      <c r="G95" s="16">
        <v>1700</v>
      </c>
      <c r="H95" s="3">
        <v>1</v>
      </c>
      <c r="I95" s="16" t="s">
        <v>49</v>
      </c>
      <c r="J95" s="16">
        <v>9.09</v>
      </c>
      <c r="K95" s="16">
        <v>5</v>
      </c>
      <c r="L95" s="16">
        <v>1</v>
      </c>
      <c r="M95" s="16">
        <v>5</v>
      </c>
      <c r="P95" s="16">
        <f t="shared" si="2"/>
        <v>0.86235219953202014</v>
      </c>
      <c r="Q95" s="16">
        <f t="shared" si="3"/>
        <v>6.8251480974420753</v>
      </c>
    </row>
    <row r="96" spans="1:17" ht="13" x14ac:dyDescent="0.15">
      <c r="A96" s="19">
        <v>45800</v>
      </c>
      <c r="B96" s="16">
        <v>26</v>
      </c>
      <c r="C96" s="16">
        <v>18</v>
      </c>
      <c r="E96" s="23" t="s">
        <v>102</v>
      </c>
      <c r="F96" s="16">
        <v>1700</v>
      </c>
      <c r="G96" s="16">
        <v>1700</v>
      </c>
      <c r="H96" s="3">
        <v>2</v>
      </c>
      <c r="I96" s="16" t="s">
        <v>49</v>
      </c>
      <c r="J96" s="16">
        <v>9.9</v>
      </c>
      <c r="K96" s="16">
        <v>5</v>
      </c>
      <c r="L96" s="16">
        <v>1</v>
      </c>
      <c r="M96" s="16">
        <v>5</v>
      </c>
      <c r="P96" s="16">
        <f t="shared" si="2"/>
        <v>0.98550043030488488</v>
      </c>
      <c r="Q96" s="16">
        <f t="shared" si="3"/>
        <v>6.7652331918860025</v>
      </c>
    </row>
    <row r="97" spans="1:17" ht="13" x14ac:dyDescent="0.15">
      <c r="A97" s="19">
        <v>45800</v>
      </c>
      <c r="B97" s="16">
        <v>26</v>
      </c>
      <c r="C97" s="16">
        <v>18</v>
      </c>
      <c r="E97" s="23" t="s">
        <v>102</v>
      </c>
      <c r="F97" s="16">
        <v>1700</v>
      </c>
      <c r="G97" s="16">
        <v>1700</v>
      </c>
      <c r="H97" s="3">
        <v>3</v>
      </c>
      <c r="I97" s="16" t="s">
        <v>49</v>
      </c>
      <c r="J97" s="16">
        <v>11.1</v>
      </c>
      <c r="K97" s="16">
        <v>5</v>
      </c>
      <c r="L97" s="16">
        <v>1</v>
      </c>
      <c r="M97" s="16">
        <v>5</v>
      </c>
      <c r="P97" s="16">
        <f t="shared" si="2"/>
        <v>1.1505596765753812</v>
      </c>
      <c r="Q97" s="16">
        <f t="shared" si="3"/>
        <v>7.0556890884439172</v>
      </c>
    </row>
    <row r="98" spans="1:17" ht="14" x14ac:dyDescent="0.15">
      <c r="A98" s="19">
        <v>45803</v>
      </c>
      <c r="B98" s="16">
        <v>29</v>
      </c>
      <c r="C98" s="16">
        <v>21</v>
      </c>
      <c r="E98" s="16" t="s">
        <v>32</v>
      </c>
      <c r="F98" s="22">
        <v>2.2499999999999999E-4</v>
      </c>
      <c r="G98" s="22"/>
      <c r="H98" s="3">
        <v>1</v>
      </c>
      <c r="I98" s="16" t="s">
        <v>49</v>
      </c>
      <c r="J98" s="16">
        <v>18.600000000000001</v>
      </c>
      <c r="K98" s="3" t="s">
        <v>17</v>
      </c>
      <c r="L98" s="16">
        <v>3</v>
      </c>
      <c r="M98" s="16">
        <v>5</v>
      </c>
      <c r="P98" s="16">
        <f t="shared" si="2"/>
        <v>1.8953026213333068</v>
      </c>
      <c r="Q98" s="16">
        <f t="shared" si="3"/>
        <v>13.298349879782565</v>
      </c>
    </row>
    <row r="99" spans="1:17" ht="14" x14ac:dyDescent="0.15">
      <c r="A99" s="19">
        <v>45803</v>
      </c>
      <c r="B99" s="16">
        <v>29</v>
      </c>
      <c r="C99" s="16">
        <v>21</v>
      </c>
      <c r="E99" s="16" t="s">
        <v>32</v>
      </c>
      <c r="F99" s="22">
        <v>2.2499999999999999E-4</v>
      </c>
      <c r="G99" s="22"/>
      <c r="H99" s="3">
        <v>2</v>
      </c>
      <c r="I99" s="16" t="s">
        <v>49</v>
      </c>
      <c r="J99" s="16">
        <v>16.3</v>
      </c>
      <c r="K99" s="3" t="s">
        <v>17</v>
      </c>
      <c r="L99" s="16">
        <v>3</v>
      </c>
      <c r="M99" s="16">
        <v>5</v>
      </c>
      <c r="P99" s="16">
        <f t="shared" si="2"/>
        <v>1.704871964456353</v>
      </c>
      <c r="Q99" s="16">
        <f t="shared" si="3"/>
        <v>13.255552267265708</v>
      </c>
    </row>
    <row r="100" spans="1:17" ht="14" x14ac:dyDescent="0.15">
      <c r="A100" s="19">
        <v>45803</v>
      </c>
      <c r="B100" s="16">
        <v>29</v>
      </c>
      <c r="C100" s="16">
        <v>21</v>
      </c>
      <c r="E100" s="16" t="s">
        <v>32</v>
      </c>
      <c r="F100" s="22">
        <v>2.2499999999999999E-4</v>
      </c>
      <c r="G100" s="22"/>
      <c r="H100" s="3">
        <v>3</v>
      </c>
      <c r="I100" s="16" t="s">
        <v>49</v>
      </c>
      <c r="J100" s="16">
        <v>21.9</v>
      </c>
      <c r="K100" s="3" t="s">
        <v>17</v>
      </c>
      <c r="L100" s="16">
        <v>3</v>
      </c>
      <c r="M100" s="16">
        <v>5</v>
      </c>
      <c r="P100" s="16">
        <f t="shared" si="2"/>
        <v>2.1309308698264489</v>
      </c>
      <c r="Q100" s="16">
        <f t="shared" si="3"/>
        <v>13.247389023359021</v>
      </c>
    </row>
    <row r="101" spans="1:17" ht="14" x14ac:dyDescent="0.15">
      <c r="A101" s="19">
        <v>45803</v>
      </c>
      <c r="B101" s="16">
        <v>29</v>
      </c>
      <c r="C101" s="16">
        <v>21</v>
      </c>
      <c r="E101" s="23" t="s">
        <v>100</v>
      </c>
      <c r="F101" s="16">
        <v>130</v>
      </c>
      <c r="G101" s="18"/>
      <c r="H101" s="3">
        <v>1</v>
      </c>
      <c r="I101" s="16" t="s">
        <v>49</v>
      </c>
      <c r="J101" s="16">
        <v>16.899999999999999</v>
      </c>
      <c r="K101" s="3" t="s">
        <v>17</v>
      </c>
      <c r="L101" s="16">
        <v>3</v>
      </c>
      <c r="M101" s="16">
        <v>5</v>
      </c>
      <c r="P101" s="16">
        <f t="shared" si="2"/>
        <v>1.7570232465074596</v>
      </c>
      <c r="Q101" s="16">
        <f t="shared" si="3"/>
        <v>8.2844972034207682</v>
      </c>
    </row>
    <row r="102" spans="1:17" ht="14" x14ac:dyDescent="0.15">
      <c r="A102" s="19">
        <v>45803</v>
      </c>
      <c r="B102" s="16">
        <v>29</v>
      </c>
      <c r="C102" s="16">
        <v>21</v>
      </c>
      <c r="E102" s="23" t="s">
        <v>100</v>
      </c>
      <c r="F102" s="16">
        <v>130</v>
      </c>
      <c r="G102" s="18"/>
      <c r="H102" s="3">
        <v>2</v>
      </c>
      <c r="I102" s="16" t="s">
        <v>49</v>
      </c>
      <c r="J102" s="16">
        <v>17.399999999999999</v>
      </c>
      <c r="K102" s="3" t="s">
        <v>17</v>
      </c>
      <c r="L102" s="16">
        <v>3</v>
      </c>
      <c r="M102" s="16">
        <v>5</v>
      </c>
      <c r="P102" s="16">
        <f t="shared" si="2"/>
        <v>1.7990873060740036</v>
      </c>
      <c r="Q102" s="16">
        <f t="shared" si="3"/>
        <v>8.006110464083477</v>
      </c>
    </row>
    <row r="103" spans="1:17" ht="14" x14ac:dyDescent="0.15">
      <c r="A103" s="19">
        <v>45803</v>
      </c>
      <c r="B103" s="16">
        <v>29</v>
      </c>
      <c r="C103" s="16">
        <v>21</v>
      </c>
      <c r="E103" s="23" t="s">
        <v>100</v>
      </c>
      <c r="F103" s="16">
        <v>130</v>
      </c>
      <c r="G103" s="18"/>
      <c r="H103" s="3">
        <v>3</v>
      </c>
      <c r="I103" s="16" t="s">
        <v>49</v>
      </c>
      <c r="J103" s="16">
        <v>15.3</v>
      </c>
      <c r="K103" s="3" t="s">
        <v>17</v>
      </c>
      <c r="L103" s="16">
        <v>3</v>
      </c>
      <c r="M103" s="16">
        <v>5</v>
      </c>
      <c r="P103" s="16">
        <f t="shared" si="2"/>
        <v>1.6135316529179271</v>
      </c>
      <c r="Q103" s="16">
        <f t="shared" si="3"/>
        <v>7.699107585694887</v>
      </c>
    </row>
    <row r="104" spans="1:17" ht="14" x14ac:dyDescent="0.15">
      <c r="A104" s="19">
        <v>45803</v>
      </c>
      <c r="B104" s="16">
        <v>29</v>
      </c>
      <c r="C104" s="16">
        <v>21</v>
      </c>
      <c r="E104" s="23" t="s">
        <v>101</v>
      </c>
      <c r="F104" s="16">
        <v>2250</v>
      </c>
      <c r="G104" s="18"/>
      <c r="H104" s="3">
        <v>1</v>
      </c>
      <c r="I104" s="16" t="s">
        <v>49</v>
      </c>
      <c r="J104" s="16">
        <v>7.85</v>
      </c>
      <c r="K104" s="3" t="s">
        <v>17</v>
      </c>
      <c r="L104" s="16">
        <v>1</v>
      </c>
      <c r="M104" s="16">
        <v>5</v>
      </c>
      <c r="N104" s="16" t="s">
        <v>110</v>
      </c>
      <c r="P104" s="16">
        <f t="shared" si="2"/>
        <v>0.65076455911690212</v>
      </c>
      <c r="Q104" s="16">
        <f t="shared" si="3"/>
        <v>6.7753787016335112</v>
      </c>
    </row>
    <row r="105" spans="1:17" ht="14" x14ac:dyDescent="0.15">
      <c r="A105" s="19">
        <v>45803</v>
      </c>
      <c r="B105" s="16">
        <v>29</v>
      </c>
      <c r="C105" s="16">
        <v>21</v>
      </c>
      <c r="E105" s="23" t="s">
        <v>101</v>
      </c>
      <c r="F105" s="16">
        <v>2250</v>
      </c>
      <c r="G105" s="18"/>
      <c r="H105" s="3">
        <v>2</v>
      </c>
      <c r="I105" s="16" t="s">
        <v>49</v>
      </c>
      <c r="J105" s="16">
        <v>8.6</v>
      </c>
      <c r="K105" s="3" t="s">
        <v>17</v>
      </c>
      <c r="L105" s="16">
        <v>1</v>
      </c>
      <c r="M105" s="16">
        <v>5</v>
      </c>
      <c r="N105" s="16" t="s">
        <v>110</v>
      </c>
      <c r="P105" s="16">
        <f t="shared" si="2"/>
        <v>0.78240856492737332</v>
      </c>
      <c r="Q105" s="16">
        <f t="shared" si="3"/>
        <v>6.9444994490975089</v>
      </c>
    </row>
    <row r="106" spans="1:17" ht="14" x14ac:dyDescent="0.15">
      <c r="A106" s="19">
        <v>45803</v>
      </c>
      <c r="B106" s="16">
        <v>29</v>
      </c>
      <c r="C106" s="16">
        <v>21</v>
      </c>
      <c r="E106" s="23" t="s">
        <v>101</v>
      </c>
      <c r="F106" s="16">
        <v>2250</v>
      </c>
      <c r="G106" s="18"/>
      <c r="H106" s="3">
        <v>3</v>
      </c>
      <c r="I106" s="16" t="s">
        <v>49</v>
      </c>
      <c r="J106" s="16">
        <v>8.14</v>
      </c>
      <c r="K106" s="3" t="s">
        <v>17</v>
      </c>
      <c r="L106" s="16">
        <v>1</v>
      </c>
      <c r="M106" s="16">
        <v>5</v>
      </c>
      <c r="N106" s="16" t="s">
        <v>110</v>
      </c>
      <c r="P106" s="16">
        <f t="shared" si="2"/>
        <v>0.70310069960416011</v>
      </c>
      <c r="Q106" s="16">
        <f t="shared" si="3"/>
        <v>6.8006348421985043</v>
      </c>
    </row>
    <row r="107" spans="1:17" ht="14" x14ac:dyDescent="0.15">
      <c r="A107" s="19">
        <v>45803</v>
      </c>
      <c r="B107" s="16">
        <v>29</v>
      </c>
      <c r="C107" s="16">
        <v>21</v>
      </c>
      <c r="E107" s="23" t="s">
        <v>102</v>
      </c>
      <c r="F107" s="16">
        <v>1700</v>
      </c>
      <c r="H107" s="3">
        <v>1</v>
      </c>
      <c r="I107" s="16" t="s">
        <v>49</v>
      </c>
      <c r="J107" s="16">
        <v>13.5</v>
      </c>
      <c r="K107" s="3" t="s">
        <v>17</v>
      </c>
      <c r="L107" s="20">
        <v>2</v>
      </c>
      <c r="M107" s="16">
        <v>5</v>
      </c>
      <c r="N107" s="16" t="s">
        <v>110</v>
      </c>
      <c r="P107" s="16">
        <f t="shared" si="2"/>
        <v>1.4329594072761063</v>
      </c>
      <c r="Q107" s="16">
        <f t="shared" si="3"/>
        <v>8.2581075047181809</v>
      </c>
    </row>
    <row r="108" spans="1:17" ht="14" x14ac:dyDescent="0.15">
      <c r="A108" s="19">
        <v>45803</v>
      </c>
      <c r="B108" s="16">
        <v>29</v>
      </c>
      <c r="C108" s="16">
        <v>21</v>
      </c>
      <c r="E108" s="23" t="s">
        <v>102</v>
      </c>
      <c r="F108" s="16">
        <v>1700</v>
      </c>
      <c r="H108" s="3">
        <v>2</v>
      </c>
      <c r="I108" s="16" t="s">
        <v>49</v>
      </c>
      <c r="J108" s="16">
        <v>12.7</v>
      </c>
      <c r="K108" s="3" t="s">
        <v>17</v>
      </c>
      <c r="L108" s="20">
        <v>2</v>
      </c>
      <c r="M108" s="16">
        <v>5</v>
      </c>
      <c r="N108" s="16" t="s">
        <v>110</v>
      </c>
      <c r="P108" s="16">
        <f t="shared" si="2"/>
        <v>1.3448284969974413</v>
      </c>
      <c r="Q108" s="16">
        <f t="shared" si="3"/>
        <v>8.1100616888834445</v>
      </c>
    </row>
    <row r="109" spans="1:17" ht="14" x14ac:dyDescent="0.15">
      <c r="A109" s="19">
        <v>45803</v>
      </c>
      <c r="B109" s="16">
        <v>29</v>
      </c>
      <c r="C109" s="16">
        <v>21</v>
      </c>
      <c r="E109" s="23" t="s">
        <v>102</v>
      </c>
      <c r="F109" s="16">
        <v>1700</v>
      </c>
      <c r="H109" s="3">
        <v>3</v>
      </c>
      <c r="I109" s="16" t="s">
        <v>49</v>
      </c>
      <c r="J109" s="16">
        <v>11.6</v>
      </c>
      <c r="K109" s="3" t="s">
        <v>17</v>
      </c>
      <c r="L109" s="20">
        <v>2</v>
      </c>
      <c r="M109" s="16">
        <v>5</v>
      </c>
      <c r="N109" s="16" t="s">
        <v>110</v>
      </c>
      <c r="P109" s="16">
        <f t="shared" si="2"/>
        <v>1.2141248053528473</v>
      </c>
      <c r="Q109" s="16">
        <f t="shared" si="3"/>
        <v>8.2698138937967638</v>
      </c>
    </row>
  </sheetData>
  <conditionalFormatting sqref="D1:G13 A1:A4 O1:O4 B1:C7 I1:J7 K1:N10 H1:H109 K14:K25 L14:M61 L77:M79 L89:M94 K98:K109">
    <cfRule type="cellIs" dxfId="44" priority="6" operator="equal">
      <formula>"N/A"</formula>
    </cfRule>
  </conditionalFormatting>
  <conditionalFormatting sqref="E1:E13">
    <cfRule type="cellIs" dxfId="43" priority="11" operator="equal">
      <formula>"KI-CDK9d-32"</formula>
    </cfRule>
    <cfRule type="cellIs" dxfId="42" priority="12" operator="equal">
      <formula>"KI-CDK9d-32N"</formula>
    </cfRule>
    <cfRule type="cellIs" dxfId="41" priority="13" operator="equal">
      <formula>"KB-0742"</formula>
    </cfRule>
    <cfRule type="cellIs" dxfId="40" priority="14" operator="equal">
      <formula>"SY-5609"</formula>
    </cfRule>
    <cfRule type="cellIs" dxfId="39" priority="15" operator="equal">
      <formula>"Senexin B"</formula>
    </cfRule>
    <cfRule type="cellIs" dxfId="38" priority="16" operator="equal">
      <formula>"SEL120"</formula>
    </cfRule>
    <cfRule type="cellIs" dxfId="37" priority="18" operator="equal">
      <formula>"NONE"</formula>
    </cfRule>
  </conditionalFormatting>
  <conditionalFormatting sqref="E1:E109">
    <cfRule type="cellIs" dxfId="36" priority="17" operator="equal">
      <formula>"DMSO"</formula>
    </cfRule>
  </conditionalFormatting>
  <conditionalFormatting sqref="E11:E109">
    <cfRule type="cellIs" dxfId="35" priority="1" operator="equal">
      <formula>"BSJ-4-116"</formula>
    </cfRule>
    <cfRule type="cellIs" dxfId="34" priority="2" operator="equal">
      <formula>"CDK12-IN-2"</formula>
    </cfRule>
    <cfRule type="cellIs" dxfId="33" priority="3" operator="equal">
      <formula>"HQ461"</formula>
    </cfRule>
  </conditionalFormatting>
  <conditionalFormatting sqref="F11:F13 G14:G109">
    <cfRule type="colorScale" priority="4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1:G13">
    <cfRule type="colorScale" priority="5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109">
    <cfRule type="cellIs" dxfId="32" priority="7" operator="equal">
      <formula>1</formula>
    </cfRule>
    <cfRule type="cellIs" dxfId="31" priority="8" operator="equal">
      <formula>2</formula>
    </cfRule>
    <cfRule type="cellIs" dxfId="30" priority="9" operator="equal">
      <formula>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M178"/>
  <sheetViews>
    <sheetView topLeftCell="B133" zoomScale="150" workbookViewId="0">
      <selection activeCell="P129" sqref="P129"/>
    </sheetView>
  </sheetViews>
  <sheetFormatPr baseColWidth="10" defaultColWidth="12.6640625" defaultRowHeight="15.75" customHeight="1" x14ac:dyDescent="0.15"/>
  <cols>
    <col min="4" max="4" width="19.5" customWidth="1"/>
    <col min="9" max="9" width="14.33203125" customWidth="1"/>
    <col min="10" max="10" width="20.6640625" customWidth="1"/>
    <col min="15" max="15" width="41.5" customWidth="1"/>
  </cols>
  <sheetData>
    <row r="1" spans="1:3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</row>
    <row r="2" spans="1:39" ht="15.75" customHeight="1" x14ac:dyDescent="0.15">
      <c r="A2" s="2">
        <v>45825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111</v>
      </c>
      <c r="J2" s="3">
        <v>18</v>
      </c>
      <c r="K2" s="3" t="s">
        <v>17</v>
      </c>
      <c r="L2" s="3" t="s">
        <v>17</v>
      </c>
      <c r="M2" s="3" t="s">
        <v>17</v>
      </c>
      <c r="N2" s="3" t="s">
        <v>112</v>
      </c>
      <c r="O2" s="3" t="s">
        <v>91</v>
      </c>
    </row>
    <row r="3" spans="1:39" ht="15.75" customHeight="1" x14ac:dyDescent="0.15">
      <c r="A3" s="2">
        <v>45825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111</v>
      </c>
      <c r="J3" s="3">
        <v>18</v>
      </c>
      <c r="K3" s="3" t="s">
        <v>17</v>
      </c>
      <c r="L3" s="3" t="s">
        <v>17</v>
      </c>
      <c r="M3" s="3" t="s">
        <v>17</v>
      </c>
      <c r="N3" s="3" t="s">
        <v>112</v>
      </c>
      <c r="O3" s="3" t="s">
        <v>92</v>
      </c>
    </row>
    <row r="4" spans="1:39" ht="15.75" customHeight="1" x14ac:dyDescent="0.15">
      <c r="A4" s="2">
        <v>45825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111</v>
      </c>
      <c r="J4" s="3">
        <v>18</v>
      </c>
      <c r="K4" s="3" t="s">
        <v>17</v>
      </c>
      <c r="L4" s="3" t="s">
        <v>17</v>
      </c>
      <c r="M4" s="3" t="s">
        <v>17</v>
      </c>
      <c r="N4" s="3" t="s">
        <v>112</v>
      </c>
      <c r="O4" s="3"/>
    </row>
    <row r="5" spans="1:39" ht="15.75" customHeight="1" x14ac:dyDescent="0.15">
      <c r="A5" s="19">
        <v>45826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113</v>
      </c>
      <c r="J5" s="3" t="s">
        <v>114</v>
      </c>
      <c r="K5" s="3"/>
      <c r="L5" s="3"/>
      <c r="M5" s="3"/>
      <c r="N5" s="3"/>
      <c r="O5" s="3"/>
    </row>
    <row r="6" spans="1:39" ht="15.75" customHeight="1" x14ac:dyDescent="0.15">
      <c r="A6" s="19">
        <v>45826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113</v>
      </c>
      <c r="J6" s="3" t="s">
        <v>17</v>
      </c>
      <c r="K6" s="3"/>
      <c r="L6" s="3"/>
      <c r="M6" s="3"/>
      <c r="N6" s="3"/>
      <c r="O6" s="3"/>
    </row>
    <row r="7" spans="1:39" ht="15.75" customHeight="1" x14ac:dyDescent="0.15">
      <c r="A7" s="19">
        <v>45826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113</v>
      </c>
      <c r="J7" s="3" t="s">
        <v>17</v>
      </c>
      <c r="K7" s="3"/>
      <c r="L7" s="3"/>
      <c r="M7" s="3"/>
      <c r="N7" s="3"/>
      <c r="O7" s="3"/>
    </row>
    <row r="8" spans="1:39" ht="15.75" customHeight="1" x14ac:dyDescent="0.15">
      <c r="A8" s="19">
        <v>45832</v>
      </c>
      <c r="B8" s="16">
        <v>7</v>
      </c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16" t="s">
        <v>115</v>
      </c>
      <c r="J8" s="16" t="s">
        <v>116</v>
      </c>
      <c r="K8" s="16" t="s">
        <v>117</v>
      </c>
      <c r="L8" s="16">
        <v>5</v>
      </c>
      <c r="M8" s="16">
        <v>3</v>
      </c>
      <c r="N8" s="16" t="s">
        <v>118</v>
      </c>
      <c r="O8" s="3" t="s">
        <v>119</v>
      </c>
    </row>
    <row r="9" spans="1:39" ht="15.75" customHeight="1" x14ac:dyDescent="0.15">
      <c r="A9" s="19">
        <v>45832</v>
      </c>
      <c r="B9" s="16">
        <v>7</v>
      </c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16" t="s">
        <v>113</v>
      </c>
      <c r="J9" s="16" t="s">
        <v>120</v>
      </c>
      <c r="K9" s="16" t="s">
        <v>117</v>
      </c>
      <c r="L9" s="16">
        <v>5</v>
      </c>
      <c r="M9" s="16">
        <v>3</v>
      </c>
      <c r="N9" s="16" t="s">
        <v>118</v>
      </c>
      <c r="O9" s="3" t="s">
        <v>121</v>
      </c>
    </row>
    <row r="10" spans="1:39" ht="15.75" customHeight="1" x14ac:dyDescent="0.15">
      <c r="A10" s="19">
        <v>45832</v>
      </c>
      <c r="B10" s="16">
        <v>7</v>
      </c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16" t="s">
        <v>113</v>
      </c>
      <c r="J10" s="16" t="s">
        <v>120</v>
      </c>
      <c r="K10" s="16" t="s">
        <v>117</v>
      </c>
      <c r="L10" s="16">
        <v>5</v>
      </c>
      <c r="M10" s="16">
        <v>3</v>
      </c>
      <c r="N10" s="16" t="s">
        <v>118</v>
      </c>
      <c r="O10" s="3"/>
      <c r="S10" s="24" t="s">
        <v>55</v>
      </c>
      <c r="T10" s="25" t="s">
        <v>122</v>
      </c>
      <c r="U10" s="25" t="s">
        <v>123</v>
      </c>
      <c r="V10" s="25" t="s">
        <v>124</v>
      </c>
      <c r="W10" s="25" t="s">
        <v>125</v>
      </c>
      <c r="X10" s="25" t="s">
        <v>126</v>
      </c>
      <c r="Y10" s="25" t="s">
        <v>127</v>
      </c>
      <c r="Z10" s="26" t="s">
        <v>128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5.75" customHeight="1" x14ac:dyDescent="0.15">
      <c r="A11" s="32">
        <v>45833</v>
      </c>
      <c r="B11" s="33">
        <v>8</v>
      </c>
      <c r="C11" s="33">
        <v>0</v>
      </c>
      <c r="D11" s="33"/>
      <c r="E11" s="33" t="s">
        <v>32</v>
      </c>
      <c r="F11" s="34">
        <v>2.2499999999999999E-4</v>
      </c>
      <c r="G11" s="34">
        <v>2.2499999999999999E-4</v>
      </c>
      <c r="H11" s="35">
        <v>1</v>
      </c>
      <c r="I11" s="33" t="s">
        <v>129</v>
      </c>
      <c r="J11" s="33">
        <v>2</v>
      </c>
      <c r="K11" s="35" t="s">
        <v>17</v>
      </c>
      <c r="L11" s="35"/>
      <c r="M11" s="35"/>
      <c r="N11" s="33"/>
      <c r="O11" s="35"/>
      <c r="P11" s="33">
        <v>0</v>
      </c>
      <c r="Q11" s="36">
        <v>0</v>
      </c>
      <c r="S11" s="27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28">
        <v>0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ht="15.75" customHeight="1" x14ac:dyDescent="0.15">
      <c r="A12" s="37">
        <v>45833</v>
      </c>
      <c r="B12" s="16">
        <v>8</v>
      </c>
      <c r="C12" s="16">
        <v>0</v>
      </c>
      <c r="E12" s="16" t="s">
        <v>32</v>
      </c>
      <c r="F12" s="22">
        <v>2.2499999999999999E-4</v>
      </c>
      <c r="G12" s="22">
        <v>2.2499999999999999E-4</v>
      </c>
      <c r="H12" s="3">
        <v>2</v>
      </c>
      <c r="I12" s="16" t="s">
        <v>129</v>
      </c>
      <c r="J12" s="16">
        <v>2</v>
      </c>
      <c r="K12" s="3" t="s">
        <v>17</v>
      </c>
      <c r="L12" s="3"/>
      <c r="M12" s="3"/>
      <c r="O12" s="3"/>
      <c r="P12" s="16">
        <v>0</v>
      </c>
      <c r="Q12" s="38">
        <v>0</v>
      </c>
      <c r="S12" s="27">
        <v>3</v>
      </c>
      <c r="T12" s="16">
        <f>AVERAGE(P32:P34)</f>
        <v>2.5295715451940879</v>
      </c>
      <c r="U12" s="16">
        <f>AVERAGE(P35:P37)</f>
        <v>1.5177957948823624</v>
      </c>
      <c r="V12" s="16">
        <f>AVERAGE(P38:P40)</f>
        <v>1.2716396484987937</v>
      </c>
      <c r="W12" s="16">
        <f>AVERAGE(P41:P43)</f>
        <v>1.745136858034855</v>
      </c>
      <c r="X12" s="16">
        <f>AVERAGE(P44:P46)</f>
        <v>1.1727901553206546</v>
      </c>
      <c r="Y12" s="16">
        <f>AVERAGE(P47:P49)</f>
        <v>1.0874848354109512</v>
      </c>
      <c r="Z12" s="28">
        <f>AVERAGE(P50:P52)</f>
        <v>-6.9969674964426243E-2</v>
      </c>
    </row>
    <row r="13" spans="1:39" ht="15.75" customHeight="1" x14ac:dyDescent="0.15">
      <c r="A13" s="37">
        <v>45833</v>
      </c>
      <c r="B13" s="16">
        <v>8</v>
      </c>
      <c r="C13" s="16">
        <v>0</v>
      </c>
      <c r="E13" s="16" t="s">
        <v>32</v>
      </c>
      <c r="F13" s="22">
        <v>2.2499999999999999E-4</v>
      </c>
      <c r="G13" s="22">
        <v>2.2499999999999999E-4</v>
      </c>
      <c r="H13" s="3">
        <v>3</v>
      </c>
      <c r="I13" s="16" t="s">
        <v>129</v>
      </c>
      <c r="J13" s="16">
        <v>2</v>
      </c>
      <c r="K13" s="3" t="s">
        <v>17</v>
      </c>
      <c r="L13" s="3"/>
      <c r="M13" s="3"/>
      <c r="O13" s="3"/>
      <c r="P13" s="16">
        <v>0</v>
      </c>
      <c r="Q13" s="38">
        <v>0</v>
      </c>
      <c r="S13" s="27">
        <v>6</v>
      </c>
      <c r="T13" s="16">
        <f>AVERAGE(P53:P55)</f>
        <v>1.7743692456743088</v>
      </c>
      <c r="U13" s="16">
        <f>AVERAGE(P56:P58)</f>
        <v>0.80769006009922384</v>
      </c>
      <c r="V13" s="16">
        <f>AVERAGE(P59:P61)</f>
        <v>6.7430359527140757E-2</v>
      </c>
      <c r="W13" s="16">
        <f>AVERAGE(P62:P64)</f>
        <v>0.98346806999754988</v>
      </c>
      <c r="X13" s="16">
        <f>AVERAGE(P65:P67)</f>
        <v>-3.0172269273816017E-2</v>
      </c>
      <c r="Y13" s="16">
        <f>AVERAGE(P68:P70)</f>
        <v>9.5556683168245171E-2</v>
      </c>
      <c r="Z13" s="28">
        <f>AVERAGE(P71:P73)</f>
        <v>0.19535904691927711</v>
      </c>
    </row>
    <row r="14" spans="1:39" ht="15.75" customHeight="1" x14ac:dyDescent="0.15">
      <c r="A14" s="37">
        <v>45833</v>
      </c>
      <c r="B14" s="16">
        <v>8</v>
      </c>
      <c r="C14" s="16">
        <v>0</v>
      </c>
      <c r="E14" s="39" t="s">
        <v>130</v>
      </c>
      <c r="F14" s="16">
        <v>4000</v>
      </c>
      <c r="G14" s="16">
        <v>4000</v>
      </c>
      <c r="H14" s="3">
        <v>1</v>
      </c>
      <c r="I14" s="16" t="s">
        <v>129</v>
      </c>
      <c r="J14" s="16">
        <v>2</v>
      </c>
      <c r="K14" s="3" t="s">
        <v>17</v>
      </c>
      <c r="L14" s="3"/>
      <c r="M14" s="3"/>
      <c r="O14" s="3"/>
      <c r="P14" s="16">
        <v>0</v>
      </c>
      <c r="Q14" s="38">
        <v>0</v>
      </c>
      <c r="S14" s="27">
        <v>9</v>
      </c>
      <c r="T14" s="16">
        <f>AVERAGE(P74:P76)</f>
        <v>1.9108345530336865</v>
      </c>
      <c r="U14" s="16">
        <f>AVERAGE(P77:P79)</f>
        <v>0.81213924234950585</v>
      </c>
      <c r="V14" s="16">
        <f>AVERAGE(P80:P82)</f>
        <v>0.48064293254087548</v>
      </c>
      <c r="W14" s="16">
        <f>AVERAGE(P83:P85)</f>
        <v>1.0991127245339429</v>
      </c>
      <c r="X14" s="16">
        <f>AVERAGE(P86:P88)</f>
        <v>0.54052335879233215</v>
      </c>
      <c r="Y14" s="16">
        <f>AVERAGE(P89:P91)</f>
        <v>0.71396348445207225</v>
      </c>
      <c r="Z14" s="28">
        <f>AVERAGE(P92:P94)</f>
        <v>1.1934137242973342</v>
      </c>
    </row>
    <row r="15" spans="1:39" ht="15.75" customHeight="1" x14ac:dyDescent="0.15">
      <c r="A15" s="37">
        <v>45833</v>
      </c>
      <c r="B15" s="16">
        <v>8</v>
      </c>
      <c r="C15" s="16">
        <v>0</v>
      </c>
      <c r="E15" s="39" t="s">
        <v>130</v>
      </c>
      <c r="F15" s="16">
        <v>4000</v>
      </c>
      <c r="G15" s="16">
        <v>4000</v>
      </c>
      <c r="H15" s="3">
        <v>2</v>
      </c>
      <c r="I15" s="16" t="s">
        <v>129</v>
      </c>
      <c r="J15" s="16">
        <v>2</v>
      </c>
      <c r="K15" s="3" t="s">
        <v>17</v>
      </c>
      <c r="L15" s="3"/>
      <c r="M15" s="3"/>
      <c r="O15" s="3"/>
      <c r="P15" s="16">
        <v>0</v>
      </c>
      <c r="Q15" s="38">
        <v>0</v>
      </c>
      <c r="S15" s="27">
        <v>12</v>
      </c>
      <c r="T15" s="16">
        <f>AVERAGE(P95:P97)</f>
        <v>2.3443487240480945</v>
      </c>
      <c r="U15" s="16">
        <f>AVERAGE(P98:P100)</f>
        <v>0.7447007186652671</v>
      </c>
      <c r="V15" s="16">
        <f>AVERAGE(P101:P103)</f>
        <v>0.45968879976030147</v>
      </c>
      <c r="W15" s="16">
        <f>AVERAGE(P104:P106)</f>
        <v>1.1475464677952185</v>
      </c>
      <c r="X15" s="16">
        <f>AVERAGE(P107:P109)</f>
        <v>1.7112732525548662</v>
      </c>
      <c r="Y15" s="16">
        <f>AVERAGE(P110:P112)</f>
        <v>1.0457742415663989</v>
      </c>
      <c r="Z15" s="28">
        <f>AVERAGE(P113:P115)</f>
        <v>0.23039226560404133</v>
      </c>
    </row>
    <row r="16" spans="1:39" ht="15.75" customHeight="1" x14ac:dyDescent="0.15">
      <c r="A16" s="37">
        <v>45833</v>
      </c>
      <c r="B16" s="16">
        <v>8</v>
      </c>
      <c r="C16" s="16">
        <v>0</v>
      </c>
      <c r="E16" s="39" t="s">
        <v>130</v>
      </c>
      <c r="F16" s="16">
        <v>4000</v>
      </c>
      <c r="G16" s="16">
        <v>4000</v>
      </c>
      <c r="H16" s="3">
        <v>3</v>
      </c>
      <c r="I16" s="16" t="s">
        <v>129</v>
      </c>
      <c r="J16" s="16">
        <v>2</v>
      </c>
      <c r="K16" s="3" t="s">
        <v>17</v>
      </c>
      <c r="L16" s="3"/>
      <c r="M16" s="3"/>
      <c r="O16" s="3"/>
      <c r="P16" s="16">
        <v>0</v>
      </c>
      <c r="Q16" s="38">
        <v>0</v>
      </c>
      <c r="S16" s="27">
        <v>15</v>
      </c>
      <c r="Z16" s="28"/>
    </row>
    <row r="17" spans="1:39" ht="15.75" customHeight="1" x14ac:dyDescent="0.15">
      <c r="A17" s="37">
        <v>45833</v>
      </c>
      <c r="B17" s="16">
        <v>8</v>
      </c>
      <c r="C17" s="16">
        <v>0</v>
      </c>
      <c r="E17" s="40" t="s">
        <v>131</v>
      </c>
      <c r="F17" s="16">
        <v>8000</v>
      </c>
      <c r="G17" s="16">
        <v>8000</v>
      </c>
      <c r="H17" s="3">
        <v>1</v>
      </c>
      <c r="I17" s="16" t="s">
        <v>129</v>
      </c>
      <c r="J17" s="16">
        <v>2</v>
      </c>
      <c r="K17" s="3" t="s">
        <v>17</v>
      </c>
      <c r="L17" s="3"/>
      <c r="M17" s="3"/>
      <c r="O17" s="3"/>
      <c r="P17" s="16">
        <v>0</v>
      </c>
      <c r="Q17" s="38">
        <v>0</v>
      </c>
      <c r="S17" s="27">
        <v>18</v>
      </c>
      <c r="Z17" s="28"/>
    </row>
    <row r="18" spans="1:39" ht="15.75" customHeight="1" x14ac:dyDescent="0.15">
      <c r="A18" s="37">
        <v>45833</v>
      </c>
      <c r="B18" s="16">
        <v>8</v>
      </c>
      <c r="C18" s="16">
        <v>0</v>
      </c>
      <c r="E18" s="40" t="s">
        <v>131</v>
      </c>
      <c r="F18" s="16">
        <v>8000</v>
      </c>
      <c r="G18" s="16">
        <v>8000</v>
      </c>
      <c r="H18" s="3">
        <v>2</v>
      </c>
      <c r="I18" s="16" t="s">
        <v>129</v>
      </c>
      <c r="J18" s="16">
        <v>2</v>
      </c>
      <c r="K18" s="3" t="s">
        <v>17</v>
      </c>
      <c r="L18" s="3"/>
      <c r="M18" s="3"/>
      <c r="O18" s="3"/>
      <c r="P18" s="16">
        <v>0</v>
      </c>
      <c r="Q18" s="38">
        <v>0</v>
      </c>
      <c r="S18" s="29">
        <v>21</v>
      </c>
      <c r="T18" s="30"/>
      <c r="U18" s="30"/>
      <c r="V18" s="30"/>
      <c r="W18" s="30"/>
      <c r="X18" s="30"/>
      <c r="Y18" s="30"/>
      <c r="Z18" s="31"/>
    </row>
    <row r="19" spans="1:39" ht="15.75" customHeight="1" x14ac:dyDescent="0.15">
      <c r="A19" s="37">
        <v>45833</v>
      </c>
      <c r="B19" s="16">
        <v>8</v>
      </c>
      <c r="C19" s="16">
        <v>0</v>
      </c>
      <c r="E19" s="40" t="s">
        <v>131</v>
      </c>
      <c r="F19" s="16">
        <v>8000</v>
      </c>
      <c r="G19" s="16">
        <v>8000</v>
      </c>
      <c r="H19" s="3">
        <v>3</v>
      </c>
      <c r="I19" s="16" t="s">
        <v>129</v>
      </c>
      <c r="J19" s="16">
        <v>2</v>
      </c>
      <c r="K19" s="3" t="s">
        <v>17</v>
      </c>
      <c r="L19" s="3"/>
      <c r="M19" s="3"/>
      <c r="O19" s="3"/>
      <c r="P19" s="16">
        <v>0</v>
      </c>
      <c r="Q19" s="38">
        <v>0</v>
      </c>
    </row>
    <row r="20" spans="1:39" ht="15.75" customHeight="1" x14ac:dyDescent="0.15">
      <c r="A20" s="37">
        <v>45833</v>
      </c>
      <c r="B20" s="16">
        <v>8</v>
      </c>
      <c r="C20" s="16">
        <v>0</v>
      </c>
      <c r="E20" s="41" t="s">
        <v>132</v>
      </c>
      <c r="F20" s="16">
        <v>10000</v>
      </c>
      <c r="G20" s="16">
        <v>10000</v>
      </c>
      <c r="H20" s="3">
        <v>1</v>
      </c>
      <c r="I20" s="16" t="s">
        <v>129</v>
      </c>
      <c r="J20" s="16">
        <v>2</v>
      </c>
      <c r="K20" s="3" t="s">
        <v>17</v>
      </c>
      <c r="L20" s="3"/>
      <c r="M20" s="3"/>
      <c r="O20" s="3"/>
      <c r="P20" s="16">
        <v>0</v>
      </c>
      <c r="Q20" s="38">
        <v>0</v>
      </c>
    </row>
    <row r="21" spans="1:39" ht="15.75" customHeight="1" x14ac:dyDescent="0.15">
      <c r="A21" s="37">
        <v>45833</v>
      </c>
      <c r="B21" s="16">
        <v>8</v>
      </c>
      <c r="C21" s="16">
        <v>0</v>
      </c>
      <c r="E21" s="41" t="s">
        <v>132</v>
      </c>
      <c r="F21" s="16">
        <v>10000</v>
      </c>
      <c r="G21" s="16">
        <v>10000</v>
      </c>
      <c r="H21" s="3">
        <v>2</v>
      </c>
      <c r="I21" s="16" t="s">
        <v>129</v>
      </c>
      <c r="J21" s="16">
        <v>2</v>
      </c>
      <c r="K21" s="3" t="s">
        <v>17</v>
      </c>
      <c r="L21" s="3"/>
      <c r="M21" s="3"/>
      <c r="O21" s="3"/>
      <c r="P21" s="16">
        <v>0</v>
      </c>
      <c r="Q21" s="38">
        <v>0</v>
      </c>
    </row>
    <row r="22" spans="1:39" ht="15.75" customHeight="1" x14ac:dyDescent="0.15">
      <c r="A22" s="37">
        <v>45833</v>
      </c>
      <c r="B22" s="16">
        <v>8</v>
      </c>
      <c r="C22" s="16">
        <v>0</v>
      </c>
      <c r="E22" s="41" t="s">
        <v>132</v>
      </c>
      <c r="F22" s="16">
        <v>10000</v>
      </c>
      <c r="G22" s="16">
        <v>10000</v>
      </c>
      <c r="H22" s="3">
        <v>3</v>
      </c>
      <c r="I22" s="16" t="s">
        <v>129</v>
      </c>
      <c r="J22" s="16">
        <v>2</v>
      </c>
      <c r="K22" s="3" t="s">
        <v>17</v>
      </c>
      <c r="L22" s="3"/>
      <c r="M22" s="3"/>
      <c r="O22" s="3"/>
      <c r="P22" s="16">
        <v>0</v>
      </c>
      <c r="Q22" s="38">
        <v>0</v>
      </c>
    </row>
    <row r="23" spans="1:39" ht="15.75" customHeight="1" x14ac:dyDescent="0.15">
      <c r="A23" s="37">
        <v>45833</v>
      </c>
      <c r="B23" s="16">
        <v>8</v>
      </c>
      <c r="C23" s="16">
        <v>0</v>
      </c>
      <c r="E23" s="42" t="s">
        <v>133</v>
      </c>
      <c r="F23" s="16">
        <v>2000</v>
      </c>
      <c r="G23" s="16">
        <v>2000</v>
      </c>
      <c r="H23" s="3">
        <v>1</v>
      </c>
      <c r="I23" s="16" t="s">
        <v>129</v>
      </c>
      <c r="J23" s="16">
        <v>2</v>
      </c>
      <c r="K23" s="3" t="s">
        <v>17</v>
      </c>
      <c r="L23" s="3"/>
      <c r="M23" s="3"/>
      <c r="O23" s="3"/>
      <c r="P23" s="16">
        <v>0</v>
      </c>
      <c r="Q23" s="38">
        <v>0</v>
      </c>
    </row>
    <row r="24" spans="1:39" ht="15.75" customHeight="1" x14ac:dyDescent="0.15">
      <c r="A24" s="37">
        <v>45833</v>
      </c>
      <c r="B24" s="16">
        <v>8</v>
      </c>
      <c r="C24" s="16">
        <v>0</v>
      </c>
      <c r="E24" s="42" t="s">
        <v>133</v>
      </c>
      <c r="F24" s="16">
        <v>2000</v>
      </c>
      <c r="G24" s="16">
        <v>2000</v>
      </c>
      <c r="H24" s="3">
        <v>2</v>
      </c>
      <c r="I24" s="16" t="s">
        <v>129</v>
      </c>
      <c r="J24" s="16">
        <v>2</v>
      </c>
      <c r="K24" s="3" t="s">
        <v>17</v>
      </c>
      <c r="M24" s="3"/>
      <c r="O24" s="3"/>
      <c r="P24" s="16">
        <v>0</v>
      </c>
      <c r="Q24" s="38">
        <v>0</v>
      </c>
      <c r="S24" s="16" t="s">
        <v>103</v>
      </c>
    </row>
    <row r="25" spans="1:39" ht="15.75" customHeight="1" x14ac:dyDescent="0.15">
      <c r="A25" s="37">
        <v>45833</v>
      </c>
      <c r="B25" s="16">
        <v>8</v>
      </c>
      <c r="C25" s="16">
        <v>0</v>
      </c>
      <c r="E25" s="42" t="s">
        <v>133</v>
      </c>
      <c r="F25" s="16">
        <v>2000</v>
      </c>
      <c r="G25" s="16">
        <v>2000</v>
      </c>
      <c r="H25" s="3">
        <v>3</v>
      </c>
      <c r="I25" s="16" t="s">
        <v>129</v>
      </c>
      <c r="J25" s="16">
        <v>2</v>
      </c>
      <c r="K25" s="3" t="s">
        <v>17</v>
      </c>
      <c r="L25" s="3"/>
      <c r="M25" s="3"/>
      <c r="O25" s="3"/>
      <c r="P25" s="16">
        <v>0</v>
      </c>
      <c r="Q25" s="38">
        <v>0</v>
      </c>
      <c r="S25" s="24" t="s">
        <v>55</v>
      </c>
      <c r="T25" s="25" t="s">
        <v>134</v>
      </c>
      <c r="U25" s="25" t="s">
        <v>123</v>
      </c>
      <c r="V25" s="25" t="s">
        <v>124</v>
      </c>
      <c r="W25" s="25" t="s">
        <v>125</v>
      </c>
      <c r="X25" s="25" t="s">
        <v>126</v>
      </c>
      <c r="Y25" s="25" t="s">
        <v>127</v>
      </c>
      <c r="Z25" s="26" t="s">
        <v>128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ht="15.75" customHeight="1" x14ac:dyDescent="0.15">
      <c r="A26" s="37">
        <v>45833</v>
      </c>
      <c r="B26" s="16">
        <v>8</v>
      </c>
      <c r="C26" s="16">
        <v>0</v>
      </c>
      <c r="E26" s="43" t="s">
        <v>135</v>
      </c>
      <c r="F26" s="16">
        <v>5000</v>
      </c>
      <c r="G26" s="16">
        <v>5000</v>
      </c>
      <c r="H26" s="3">
        <v>1</v>
      </c>
      <c r="I26" s="16" t="s">
        <v>129</v>
      </c>
      <c r="J26" s="16">
        <v>2</v>
      </c>
      <c r="K26" s="3" t="s">
        <v>17</v>
      </c>
      <c r="L26" s="3"/>
      <c r="M26" s="3"/>
      <c r="O26" s="3"/>
      <c r="P26" s="16">
        <v>0</v>
      </c>
      <c r="Q26" s="38">
        <v>0</v>
      </c>
      <c r="S26" s="27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28">
        <v>0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spans="1:39" ht="15.75" customHeight="1" x14ac:dyDescent="0.15">
      <c r="A27" s="37">
        <v>45833</v>
      </c>
      <c r="B27" s="16">
        <v>8</v>
      </c>
      <c r="C27" s="16">
        <v>0</v>
      </c>
      <c r="E27" s="43" t="s">
        <v>135</v>
      </c>
      <c r="F27" s="16">
        <v>5000</v>
      </c>
      <c r="G27" s="16">
        <v>5000</v>
      </c>
      <c r="H27" s="3">
        <v>2</v>
      </c>
      <c r="I27" s="16" t="s">
        <v>129</v>
      </c>
      <c r="J27" s="16">
        <v>2</v>
      </c>
      <c r="K27" s="3" t="s">
        <v>17</v>
      </c>
      <c r="L27" s="3"/>
      <c r="M27" s="3"/>
      <c r="O27" s="3"/>
      <c r="P27" s="16">
        <v>0</v>
      </c>
      <c r="Q27" s="38">
        <v>0</v>
      </c>
      <c r="S27" s="27">
        <v>3</v>
      </c>
      <c r="T27" s="16">
        <f>AVERAGE(Q32:Q34)</f>
        <v>2.5295715451940879</v>
      </c>
      <c r="U27" s="16">
        <f>AVERAGE(Q35:Q37)</f>
        <v>1.5177957948823624</v>
      </c>
      <c r="V27" s="16">
        <f>AVERAGE(Q38:Q40)</f>
        <v>1.2716396484987937</v>
      </c>
      <c r="W27" s="16">
        <f>AVERAGE(Q41:Q43)</f>
        <v>1.745136858034855</v>
      </c>
      <c r="X27" s="16">
        <f>AVERAGE(Q44:Q46)</f>
        <v>1.1727901553206546</v>
      </c>
      <c r="Y27" s="16">
        <f>AVERAGE(Q47:Q49)</f>
        <v>1.0874848354109512</v>
      </c>
      <c r="Z27" s="28">
        <f>AVERAGE(Q50:Q52)</f>
        <v>-6.9969674964426243E-2</v>
      </c>
    </row>
    <row r="28" spans="1:39" ht="15.75" customHeight="1" x14ac:dyDescent="0.15">
      <c r="A28" s="37">
        <v>45833</v>
      </c>
      <c r="B28" s="16">
        <v>8</v>
      </c>
      <c r="C28" s="16">
        <v>0</v>
      </c>
      <c r="E28" s="43" t="s">
        <v>135</v>
      </c>
      <c r="F28" s="16">
        <v>5000</v>
      </c>
      <c r="G28" s="16">
        <v>5000</v>
      </c>
      <c r="H28" s="3">
        <v>3</v>
      </c>
      <c r="I28" s="16" t="s">
        <v>129</v>
      </c>
      <c r="J28" s="16">
        <v>2</v>
      </c>
      <c r="K28" s="3" t="s">
        <v>17</v>
      </c>
      <c r="L28" s="3"/>
      <c r="M28" s="3"/>
      <c r="O28" s="3"/>
      <c r="P28" s="16">
        <v>0</v>
      </c>
      <c r="Q28" s="38">
        <v>0</v>
      </c>
      <c r="S28" s="27">
        <v>6</v>
      </c>
      <c r="T28" s="16">
        <f>AVERAGE(Q53:Q55)</f>
        <v>4.3039407908683964</v>
      </c>
      <c r="U28" s="16">
        <f>AVERAGE(Q56:Q58)</f>
        <v>2.325485854981586</v>
      </c>
      <c r="V28" s="16">
        <f>AVERAGE(Q59:Q61)</f>
        <v>1.3390700080259343</v>
      </c>
      <c r="W28" s="16">
        <f>AVERAGE(Q62:Q64)</f>
        <v>2.728604928032405</v>
      </c>
      <c r="X28" s="16">
        <f>AVERAGE(Q65:Q67)</f>
        <v>1.1426178860468386</v>
      </c>
      <c r="Y28" s="16">
        <f>AVERAGE(Q68:Q70)</f>
        <v>1.1830415185791965</v>
      </c>
      <c r="Z28" s="28">
        <f>AVERAGE(Q71:Q73)</f>
        <v>0.12538937195485089</v>
      </c>
    </row>
    <row r="29" spans="1:39" ht="15.75" customHeight="1" x14ac:dyDescent="0.15">
      <c r="A29" s="37">
        <v>45833</v>
      </c>
      <c r="B29" s="16">
        <v>8</v>
      </c>
      <c r="C29" s="16">
        <v>0</v>
      </c>
      <c r="E29" s="44" t="s">
        <v>136</v>
      </c>
      <c r="F29" s="16">
        <v>5000</v>
      </c>
      <c r="G29" s="16">
        <v>5000</v>
      </c>
      <c r="H29" s="3">
        <v>1</v>
      </c>
      <c r="I29" s="16" t="s">
        <v>129</v>
      </c>
      <c r="J29" s="16">
        <v>2</v>
      </c>
      <c r="K29" s="3" t="s">
        <v>17</v>
      </c>
      <c r="L29" s="3"/>
      <c r="M29" s="3"/>
      <c r="O29" s="3"/>
      <c r="P29" s="16">
        <v>0</v>
      </c>
      <c r="Q29" s="38">
        <v>0</v>
      </c>
      <c r="S29" s="27">
        <v>9</v>
      </c>
      <c r="T29" s="16">
        <f>AVERAGE(Q74:Q76)</f>
        <v>6.2147753439020841</v>
      </c>
      <c r="U29" s="16">
        <f>AVERAGE(Q77:Q79)</f>
        <v>3.137625097331092</v>
      </c>
      <c r="V29" s="16">
        <f>AVERAGE(Q80:Q82)</f>
        <v>1.81971294056681</v>
      </c>
      <c r="W29" s="16">
        <f>AVERAGE(Q83:Q85)</f>
        <v>3.8277176525663479</v>
      </c>
      <c r="X29" s="16">
        <f>AVERAGE(Q86:Q88)</f>
        <v>1.6831412448391709</v>
      </c>
      <c r="Y29" s="16">
        <f>AVERAGE(Q89:Q91)</f>
        <v>1.8970050030312688</v>
      </c>
      <c r="Z29" s="28">
        <f>AVERAGE(Q92:Q94)</f>
        <v>1.3188030962521851</v>
      </c>
    </row>
    <row r="30" spans="1:39" ht="15.75" customHeight="1" x14ac:dyDescent="0.15">
      <c r="A30" s="37">
        <v>45833</v>
      </c>
      <c r="B30" s="16">
        <v>8</v>
      </c>
      <c r="C30" s="16">
        <v>0</v>
      </c>
      <c r="E30" s="44" t="s">
        <v>136</v>
      </c>
      <c r="F30" s="16">
        <v>5000</v>
      </c>
      <c r="G30" s="16">
        <v>5000</v>
      </c>
      <c r="H30" s="3">
        <v>2</v>
      </c>
      <c r="I30" s="16" t="s">
        <v>129</v>
      </c>
      <c r="J30" s="16">
        <v>2</v>
      </c>
      <c r="K30" s="3" t="s">
        <v>17</v>
      </c>
      <c r="L30" s="3"/>
      <c r="M30" s="3"/>
      <c r="O30" s="3"/>
      <c r="P30" s="16">
        <v>0</v>
      </c>
      <c r="Q30" s="38">
        <v>0</v>
      </c>
      <c r="S30" s="27">
        <v>12</v>
      </c>
      <c r="T30" s="16">
        <f>AVERAGE(Q95:Q97)</f>
        <v>8.5591240679501777</v>
      </c>
      <c r="U30" s="16">
        <f>AVERAGE(Q98:Q100)</f>
        <v>3.8823258159963587</v>
      </c>
      <c r="V30" s="16">
        <f>AVERAGE(Q101:Q103)</f>
        <v>2.2794017403271112</v>
      </c>
      <c r="W30" s="16">
        <f>AVERAGE(Q104:Q106)</f>
        <v>4.9752641203615662</v>
      </c>
      <c r="X30" s="16">
        <f>AVERAGE(Q107:Q109)</f>
        <v>3.3944144973940369</v>
      </c>
      <c r="Y30" s="16">
        <f>AVERAGE(Q110:Q112)</f>
        <v>2.9427792445976677</v>
      </c>
      <c r="Z30" s="28">
        <f>AVERAGE(Q113:Q115)</f>
        <v>1.5491953618562266</v>
      </c>
    </row>
    <row r="31" spans="1:39" ht="15.75" customHeight="1" x14ac:dyDescent="0.15">
      <c r="A31" s="45">
        <v>45833</v>
      </c>
      <c r="B31" s="46">
        <v>8</v>
      </c>
      <c r="C31" s="46">
        <v>0</v>
      </c>
      <c r="D31" s="46"/>
      <c r="E31" s="47" t="s">
        <v>136</v>
      </c>
      <c r="F31" s="46">
        <v>5000</v>
      </c>
      <c r="G31" s="46">
        <v>5000</v>
      </c>
      <c r="H31" s="48">
        <v>3</v>
      </c>
      <c r="I31" s="46" t="s">
        <v>129</v>
      </c>
      <c r="J31" s="46">
        <v>2</v>
      </c>
      <c r="K31" s="48" t="s">
        <v>17</v>
      </c>
      <c r="L31" s="48"/>
      <c r="M31" s="48"/>
      <c r="N31" s="46"/>
      <c r="O31" s="48"/>
      <c r="P31" s="46">
        <v>0</v>
      </c>
      <c r="Q31" s="49">
        <v>0</v>
      </c>
      <c r="S31" s="27">
        <v>15</v>
      </c>
      <c r="T31" s="16">
        <f>AVERAGE(Q116:Q118)</f>
        <v>10.777987176188034</v>
      </c>
      <c r="U31" s="16">
        <f>AVERAGE(Q119:Q121)</f>
        <v>5.2400381792324273</v>
      </c>
      <c r="V31" s="16">
        <f>AVERAGE(Q122:Q124)</f>
        <v>3.0082835104323031</v>
      </c>
      <c r="W31" s="16">
        <f>AVERAGE(Q125:Q127)</f>
        <v>5.9951417232823978</v>
      </c>
      <c r="X31" s="16">
        <f>AVERAGE(Q128:AM130)</f>
        <v>5.280131020209371</v>
      </c>
      <c r="Y31" s="16">
        <f>AVERAGE(Q131:Q133)</f>
        <v>4.5659395620546066</v>
      </c>
      <c r="Z31" s="28">
        <f>AVERAGE(Q134:Q136)</f>
        <v>2.7486629296333533</v>
      </c>
    </row>
    <row r="32" spans="1:39" ht="15.75" customHeight="1" x14ac:dyDescent="0.15">
      <c r="A32" s="32">
        <v>45836</v>
      </c>
      <c r="B32" s="33">
        <v>11</v>
      </c>
      <c r="C32" s="33">
        <v>3</v>
      </c>
      <c r="D32" s="33"/>
      <c r="E32" s="33" t="s">
        <v>32</v>
      </c>
      <c r="F32" s="34">
        <v>2.2499999999999999E-4</v>
      </c>
      <c r="G32" s="34">
        <v>2.2499999999999999E-4</v>
      </c>
      <c r="H32" s="35">
        <v>1</v>
      </c>
      <c r="I32" s="33" t="s">
        <v>129</v>
      </c>
      <c r="J32" s="33">
        <v>11</v>
      </c>
      <c r="K32" s="33">
        <v>2</v>
      </c>
      <c r="L32" s="35"/>
      <c r="M32" s="35"/>
      <c r="N32" s="33"/>
      <c r="O32" s="35"/>
      <c r="P32" s="33">
        <f t="shared" ref="P32:P52" si="0">LOG(J32/2,2)</f>
        <v>2.4594316186372973</v>
      </c>
      <c r="Q32" s="36">
        <f t="shared" ref="Q32:Q52" si="1">LOG(J32/2,2)</f>
        <v>2.4594316186372973</v>
      </c>
      <c r="R32" s="33"/>
      <c r="S32" s="27">
        <v>18</v>
      </c>
      <c r="T32" s="16">
        <f>AVERAGE(Q137:Q139)</f>
        <v>12.896283754417942</v>
      </c>
      <c r="U32" s="16">
        <f>AVERAGE(Q140:AM142)</f>
        <v>6.4563481558509563</v>
      </c>
      <c r="V32" s="16">
        <f>AVERAGE(Q143:Q145)</f>
        <v>3.4343074775307847</v>
      </c>
      <c r="W32" s="16">
        <f>AVERAGE(Q146:Q148)</f>
        <v>7.2339500219033965</v>
      </c>
      <c r="X32" s="16">
        <f>AVERAGE(Q149:Q151)</f>
        <v>5.7358885688379209</v>
      </c>
      <c r="Y32" s="16">
        <f>AVERAGE(Q152:Q154)</f>
        <v>4.9123172715836008</v>
      </c>
      <c r="Z32" s="16">
        <f>AVERAGE(Q155:Q157)</f>
        <v>2.5311300858664016</v>
      </c>
    </row>
    <row r="33" spans="1:39" ht="15.75" customHeight="1" x14ac:dyDescent="0.15">
      <c r="A33" s="37">
        <v>45836</v>
      </c>
      <c r="B33" s="16">
        <v>11</v>
      </c>
      <c r="C33" s="16">
        <v>3</v>
      </c>
      <c r="E33" s="16" t="s">
        <v>32</v>
      </c>
      <c r="F33" s="22">
        <v>2.2499999999999999E-4</v>
      </c>
      <c r="G33" s="22">
        <v>2.2499999999999999E-4</v>
      </c>
      <c r="H33" s="3">
        <v>2</v>
      </c>
      <c r="I33" s="16" t="s">
        <v>129</v>
      </c>
      <c r="J33" s="16">
        <v>11.2</v>
      </c>
      <c r="K33" s="16">
        <v>2</v>
      </c>
      <c r="L33" s="3"/>
      <c r="M33" s="3"/>
      <c r="O33" s="3"/>
      <c r="P33" s="16">
        <f t="shared" si="0"/>
        <v>2.485426827170242</v>
      </c>
      <c r="Q33" s="38">
        <f t="shared" si="1"/>
        <v>2.485426827170242</v>
      </c>
      <c r="S33" s="29">
        <v>21</v>
      </c>
      <c r="T33" s="30">
        <f>AVERAGE(Q158:Q160)</f>
        <v>14.996234275797766</v>
      </c>
      <c r="U33" s="30">
        <f>AVERAGE(Q161:Q163)</f>
        <v>7.3997597677860307</v>
      </c>
      <c r="V33" s="16">
        <f>AVERAGE(Q164:Q166)</f>
        <v>4.0008208141848938</v>
      </c>
      <c r="W33" s="30">
        <f>AVERAGE(Q167:AM169)</f>
        <v>8.1674040060955093</v>
      </c>
      <c r="X33" s="30">
        <f>AVERAGE(Q170:Q172)</f>
        <v>7.0457411610299117</v>
      </c>
      <c r="Y33" s="30">
        <f>AVERAGE(Q173:Q175)</f>
        <v>6.4029980488228189</v>
      </c>
      <c r="Z33" s="31">
        <f>AVERAGE(Q176:Q178)</f>
        <v>3.263631296786663</v>
      </c>
    </row>
    <row r="34" spans="1:39" ht="15.75" customHeight="1" x14ac:dyDescent="0.15">
      <c r="A34" s="37">
        <v>45836</v>
      </c>
      <c r="B34" s="16">
        <v>11</v>
      </c>
      <c r="C34" s="16">
        <v>3</v>
      </c>
      <c r="E34" s="16" t="s">
        <v>32</v>
      </c>
      <c r="F34" s="22">
        <v>2.2499999999999999E-4</v>
      </c>
      <c r="G34" s="22">
        <v>2.2499999999999999E-4</v>
      </c>
      <c r="H34" s="3">
        <v>3</v>
      </c>
      <c r="I34" s="16" t="s">
        <v>129</v>
      </c>
      <c r="J34" s="16">
        <v>12.5</v>
      </c>
      <c r="K34" s="16">
        <v>2</v>
      </c>
      <c r="L34" s="3"/>
      <c r="M34" s="3"/>
      <c r="O34" s="3"/>
      <c r="P34" s="16">
        <f t="shared" si="0"/>
        <v>2.6438561897747248</v>
      </c>
      <c r="Q34" s="38">
        <f t="shared" si="1"/>
        <v>2.6438561897747248</v>
      </c>
      <c r="S34" s="16" t="s">
        <v>104</v>
      </c>
    </row>
    <row r="35" spans="1:39" ht="15.75" customHeight="1" x14ac:dyDescent="0.15">
      <c r="A35" s="37">
        <v>45836</v>
      </c>
      <c r="B35" s="16">
        <v>11</v>
      </c>
      <c r="C35" s="16">
        <v>3</v>
      </c>
      <c r="E35" s="39" t="s">
        <v>130</v>
      </c>
      <c r="F35" s="16">
        <v>4000</v>
      </c>
      <c r="G35" s="16">
        <v>4000</v>
      </c>
      <c r="H35" s="3">
        <v>1</v>
      </c>
      <c r="I35" s="16" t="s">
        <v>129</v>
      </c>
      <c r="J35" s="16">
        <v>6.5</v>
      </c>
      <c r="K35" s="16">
        <v>2</v>
      </c>
      <c r="L35" s="3"/>
      <c r="M35" s="3"/>
      <c r="O35" s="3"/>
      <c r="P35" s="16">
        <f t="shared" si="0"/>
        <v>1.7004397181410922</v>
      </c>
      <c r="Q35" s="38">
        <f t="shared" si="1"/>
        <v>1.7004397181410922</v>
      </c>
      <c r="R35" s="23"/>
      <c r="S35" s="24" t="s">
        <v>55</v>
      </c>
      <c r="T35" s="25" t="s">
        <v>134</v>
      </c>
      <c r="U35" s="25" t="s">
        <v>123</v>
      </c>
      <c r="V35" s="25" t="s">
        <v>124</v>
      </c>
      <c r="W35" s="25" t="s">
        <v>125</v>
      </c>
      <c r="X35" s="25" t="s">
        <v>126</v>
      </c>
      <c r="Y35" s="25" t="s">
        <v>127</v>
      </c>
      <c r="Z35" s="26" t="s">
        <v>128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39" ht="15.75" customHeight="1" x14ac:dyDescent="0.15">
      <c r="A36" s="37">
        <v>45836</v>
      </c>
      <c r="B36" s="16">
        <v>11</v>
      </c>
      <c r="C36" s="16">
        <v>3</v>
      </c>
      <c r="E36" s="39" t="s">
        <v>130</v>
      </c>
      <c r="F36" s="16">
        <v>4000</v>
      </c>
      <c r="G36" s="16">
        <v>4000</v>
      </c>
      <c r="H36" s="3">
        <v>2</v>
      </c>
      <c r="I36" s="16" t="s">
        <v>129</v>
      </c>
      <c r="J36" s="16">
        <v>4.9400000000000004</v>
      </c>
      <c r="K36" s="16">
        <v>2</v>
      </c>
      <c r="L36" s="3"/>
      <c r="M36" s="3"/>
      <c r="O36" s="3"/>
      <c r="P36" s="16">
        <f t="shared" si="0"/>
        <v>1.304511041809953</v>
      </c>
      <c r="Q36" s="38">
        <f t="shared" si="1"/>
        <v>1.304511041809953</v>
      </c>
      <c r="R36" s="23"/>
      <c r="S36" s="27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28">
        <v>0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ht="15.75" customHeight="1" x14ac:dyDescent="0.15">
      <c r="A37" s="37">
        <v>45836</v>
      </c>
      <c r="B37" s="16">
        <v>11</v>
      </c>
      <c r="C37" s="16">
        <v>3</v>
      </c>
      <c r="E37" s="39" t="s">
        <v>130</v>
      </c>
      <c r="F37" s="16">
        <v>4000</v>
      </c>
      <c r="G37" s="16">
        <v>4000</v>
      </c>
      <c r="H37" s="3">
        <v>3</v>
      </c>
      <c r="I37" s="16" t="s">
        <v>129</v>
      </c>
      <c r="J37" s="16">
        <v>5.85</v>
      </c>
      <c r="K37" s="16">
        <v>2</v>
      </c>
      <c r="L37" s="3"/>
      <c r="M37" s="3"/>
      <c r="O37" s="3"/>
      <c r="P37" s="16">
        <f t="shared" si="0"/>
        <v>1.5484366246960422</v>
      </c>
      <c r="Q37" s="38">
        <f t="shared" si="1"/>
        <v>1.5484366246960422</v>
      </c>
      <c r="R37" s="23"/>
      <c r="S37" s="27">
        <v>3</v>
      </c>
      <c r="T37" s="16">
        <f>STDEV(Q32:Q34)</f>
        <v>9.9823207255926583E-2</v>
      </c>
      <c r="U37" s="16">
        <f>STDEV(Q35:Q37)</f>
        <v>0.19973488559609537</v>
      </c>
      <c r="V37" s="16">
        <f>STDEV(Q38:Q40)</f>
        <v>0.3639716680170863</v>
      </c>
      <c r="W37" s="16">
        <f>STDEV(Q41:Q43)</f>
        <v>0.13173022687435071</v>
      </c>
      <c r="X37" s="16">
        <f>STDEV(Q44:Q46)</f>
        <v>0.51937015666321174</v>
      </c>
      <c r="Y37" s="16">
        <f>STDEV(Q47:Q49)</f>
        <v>6.9610932282401908E-2</v>
      </c>
      <c r="Z37" s="28">
        <f>STDEV(Q50:Q52)</f>
        <v>6.6722602756357677E-2</v>
      </c>
    </row>
    <row r="38" spans="1:39" ht="15.75" customHeight="1" x14ac:dyDescent="0.15">
      <c r="A38" s="37">
        <v>45836</v>
      </c>
      <c r="B38" s="16">
        <v>11</v>
      </c>
      <c r="C38" s="16">
        <v>3</v>
      </c>
      <c r="E38" s="40" t="s">
        <v>131</v>
      </c>
      <c r="F38" s="16">
        <v>8000</v>
      </c>
      <c r="G38" s="16">
        <v>8000</v>
      </c>
      <c r="H38" s="3">
        <v>1</v>
      </c>
      <c r="I38" s="16" t="s">
        <v>129</v>
      </c>
      <c r="J38" s="16">
        <v>6.46</v>
      </c>
      <c r="K38" s="16">
        <v>2</v>
      </c>
      <c r="L38" s="3"/>
      <c r="M38" s="3"/>
      <c r="O38" s="3"/>
      <c r="P38" s="16">
        <f t="shared" si="0"/>
        <v>1.6915341649192002</v>
      </c>
      <c r="Q38" s="38">
        <f t="shared" si="1"/>
        <v>1.6915341649192002</v>
      </c>
      <c r="R38" s="23"/>
      <c r="S38" s="27">
        <v>6</v>
      </c>
      <c r="T38" s="16">
        <f>STDEV(Q53:Q55)</f>
        <v>3.9559544086379225E-2</v>
      </c>
      <c r="U38" s="16">
        <f>STDEV(Q56:Q58)</f>
        <v>9.8163830123295034E-2</v>
      </c>
      <c r="V38" s="16">
        <f>STDEV(Q59:Q61)</f>
        <v>0.31148125978097113</v>
      </c>
      <c r="W38" s="16">
        <f>STDEV(Q62:Q64)</f>
        <v>3.8073228539147672E-2</v>
      </c>
      <c r="X38" s="16">
        <f>STDEV(Q65:Q67)</f>
        <v>0.31014407767846647</v>
      </c>
      <c r="Y38" s="16">
        <f>STDEV(Q68:Q70)</f>
        <v>0.23064521165425905</v>
      </c>
      <c r="Z38" s="28">
        <f>STDEV(Q71:Q73)</f>
        <v>0.38613939231634636</v>
      </c>
    </row>
    <row r="39" spans="1:39" ht="15.75" customHeight="1" x14ac:dyDescent="0.15">
      <c r="A39" s="37">
        <v>45836</v>
      </c>
      <c r="B39" s="16">
        <v>11</v>
      </c>
      <c r="C39" s="16">
        <v>3</v>
      </c>
      <c r="E39" s="40" t="s">
        <v>131</v>
      </c>
      <c r="F39" s="16">
        <v>8000</v>
      </c>
      <c r="G39" s="16">
        <v>8000</v>
      </c>
      <c r="H39" s="3">
        <v>2</v>
      </c>
      <c r="I39" s="16" t="s">
        <v>129</v>
      </c>
      <c r="J39" s="16">
        <v>4.22</v>
      </c>
      <c r="K39" s="16">
        <v>2</v>
      </c>
      <c r="L39" s="3"/>
      <c r="M39" s="3"/>
      <c r="O39" s="3"/>
      <c r="P39" s="16">
        <f t="shared" si="0"/>
        <v>1.0772429989324603</v>
      </c>
      <c r="Q39" s="38">
        <f t="shared" si="1"/>
        <v>1.0772429989324603</v>
      </c>
      <c r="R39" s="23"/>
      <c r="S39" s="27">
        <v>9</v>
      </c>
      <c r="T39" s="16">
        <f>STDEV(Q74:Q76)</f>
        <v>0.33269222383977792</v>
      </c>
      <c r="U39" s="16">
        <f>STDEV(Q77:Q79)</f>
        <v>6.5246056256343263E-2</v>
      </c>
      <c r="V39" s="16">
        <f>STDEV(Q80:Q82)</f>
        <v>0.24392176930956072</v>
      </c>
      <c r="W39" s="16">
        <f>STDEV(Q83:Q85)</f>
        <v>0.1685412527600165</v>
      </c>
      <c r="X39" s="16">
        <f>STDEV(Q86:Q88)</f>
        <v>0.59985229528455553</v>
      </c>
      <c r="Y39" s="16">
        <f>STDEV(Q89:Q91)</f>
        <v>0.31638743551705167</v>
      </c>
      <c r="Z39" s="28">
        <f>STDEV(Q92:Q94)</f>
        <v>7.1777561489258596E-2</v>
      </c>
    </row>
    <row r="40" spans="1:39" ht="15.75" customHeight="1" x14ac:dyDescent="0.15">
      <c r="A40" s="37">
        <v>45836</v>
      </c>
      <c r="B40" s="16">
        <v>11</v>
      </c>
      <c r="C40" s="16">
        <v>3</v>
      </c>
      <c r="E40" s="40" t="s">
        <v>131</v>
      </c>
      <c r="F40" s="16">
        <v>8000</v>
      </c>
      <c r="G40" s="16">
        <v>8000</v>
      </c>
      <c r="H40" s="3">
        <v>3</v>
      </c>
      <c r="I40" s="16" t="s">
        <v>129</v>
      </c>
      <c r="J40" s="16">
        <v>4.13</v>
      </c>
      <c r="K40" s="16">
        <v>2</v>
      </c>
      <c r="L40" s="3"/>
      <c r="M40" s="3"/>
      <c r="O40" s="3"/>
      <c r="P40" s="16">
        <f t="shared" si="0"/>
        <v>1.0461417816447207</v>
      </c>
      <c r="Q40" s="38">
        <f t="shared" si="1"/>
        <v>1.0461417816447207</v>
      </c>
      <c r="R40" s="23"/>
      <c r="S40" s="27">
        <v>12</v>
      </c>
      <c r="T40" s="16">
        <f>STDEV(Q95:Q97)</f>
        <v>5.4954813539816419E-2</v>
      </c>
      <c r="U40" s="16">
        <f>STDEV(Q98:Q100)</f>
        <v>0.29877153628350339</v>
      </c>
      <c r="V40" s="16">
        <f>STDEV(Q101:Q103)</f>
        <v>0.22754978500809755</v>
      </c>
      <c r="W40" s="16">
        <f>STDEV(Q104:Q106)</f>
        <v>8.9769237365500409E-2</v>
      </c>
      <c r="X40" s="16">
        <f>STDEV(Q107:Q109)</f>
        <v>0.61477041998946691</v>
      </c>
      <c r="Y40" s="16">
        <f>STDEV(Q110:Q112)</f>
        <v>0.10799583667140281</v>
      </c>
      <c r="Z40" s="28">
        <f>STDEV(Q113:Q115)</f>
        <v>4.6318235610447324E-2</v>
      </c>
    </row>
    <row r="41" spans="1:39" ht="15.75" customHeight="1" x14ac:dyDescent="0.15">
      <c r="A41" s="37">
        <v>45836</v>
      </c>
      <c r="B41" s="16">
        <v>11</v>
      </c>
      <c r="C41" s="16">
        <v>3</v>
      </c>
      <c r="E41" s="41" t="s">
        <v>132</v>
      </c>
      <c r="F41" s="16">
        <v>10000</v>
      </c>
      <c r="G41" s="16">
        <v>10000</v>
      </c>
      <c r="H41" s="3">
        <v>1</v>
      </c>
      <c r="I41" s="16" t="s">
        <v>129</v>
      </c>
      <c r="J41" s="16">
        <v>6.18</v>
      </c>
      <c r="K41" s="16">
        <v>2</v>
      </c>
      <c r="L41" s="3"/>
      <c r="M41" s="3"/>
      <c r="O41" s="3"/>
      <c r="P41" s="16">
        <f t="shared" si="0"/>
        <v>1.6276068381296498</v>
      </c>
      <c r="Q41" s="38">
        <f t="shared" si="1"/>
        <v>1.6276068381296498</v>
      </c>
      <c r="R41" s="23"/>
      <c r="S41" s="27">
        <v>15</v>
      </c>
      <c r="T41" s="16">
        <f>STDEV(Q116:Q118)</f>
        <v>0.1673832215211129</v>
      </c>
      <c r="U41" s="16">
        <f>STDEV(Q119:Q121)</f>
        <v>0.38147832019044103</v>
      </c>
      <c r="V41" s="16">
        <f>STDEV(Q122:Q124)</f>
        <v>0.32394793649872844</v>
      </c>
      <c r="W41" s="16">
        <f>STDEV(Q125:Q127)</f>
        <v>0.36237019819860905</v>
      </c>
      <c r="X41" s="16">
        <f>STDEV(Q128:AM130)</f>
        <v>0.69611861547030451</v>
      </c>
      <c r="Y41" s="16">
        <f>STDEV(Q131:Q133)</f>
        <v>0.31827202537736093</v>
      </c>
      <c r="Z41" s="28">
        <f>STDEV(Q134:Q136)</f>
        <v>0.10500798556100564</v>
      </c>
    </row>
    <row r="42" spans="1:39" ht="15.75" customHeight="1" x14ac:dyDescent="0.15">
      <c r="A42" s="37">
        <v>45836</v>
      </c>
      <c r="B42" s="16">
        <v>11</v>
      </c>
      <c r="C42" s="16">
        <v>3</v>
      </c>
      <c r="E42" s="41" t="s">
        <v>132</v>
      </c>
      <c r="F42" s="16">
        <v>10000</v>
      </c>
      <c r="G42" s="16">
        <v>10000</v>
      </c>
      <c r="H42" s="3">
        <v>2</v>
      </c>
      <c r="I42" s="16" t="s">
        <v>129</v>
      </c>
      <c r="J42" s="16">
        <v>7.4</v>
      </c>
      <c r="K42" s="16">
        <v>2</v>
      </c>
      <c r="L42" s="3"/>
      <c r="M42" s="3"/>
      <c r="O42" s="3"/>
      <c r="P42" s="16">
        <f t="shared" si="0"/>
        <v>1.8875252707415877</v>
      </c>
      <c r="Q42" s="38">
        <f t="shared" si="1"/>
        <v>1.8875252707415877</v>
      </c>
      <c r="R42" s="23"/>
      <c r="S42" s="27">
        <v>18</v>
      </c>
      <c r="T42" s="16">
        <f>STDEV(Q137:Q139)</f>
        <v>0.30344870991346334</v>
      </c>
      <c r="U42" s="16">
        <f>STDEV(Q140:AM142)</f>
        <v>0.28925990015445296</v>
      </c>
      <c r="V42" s="16">
        <f>STDEV(Q153:Q155)</f>
        <v>1.2008503101150869</v>
      </c>
      <c r="W42" s="16">
        <f>STDEV(Q146:Q148)</f>
        <v>0.43355121375077843</v>
      </c>
      <c r="X42" s="16">
        <f>STDEV(Q149:Q151)</f>
        <v>0.35156670776914783</v>
      </c>
      <c r="Y42" s="16">
        <f>STDEV(Q152:Q154)</f>
        <v>0.20520362823528884</v>
      </c>
      <c r="Z42" s="28">
        <f>STDEV(Q155:Q157)</f>
        <v>0.35295741149458126</v>
      </c>
    </row>
    <row r="43" spans="1:39" ht="15.75" customHeight="1" x14ac:dyDescent="0.15">
      <c r="A43" s="37">
        <v>45836</v>
      </c>
      <c r="B43" s="16">
        <v>11</v>
      </c>
      <c r="C43" s="16">
        <v>3</v>
      </c>
      <c r="E43" s="41" t="s">
        <v>132</v>
      </c>
      <c r="F43" s="16">
        <v>10000</v>
      </c>
      <c r="G43" s="16">
        <v>10000</v>
      </c>
      <c r="H43" s="3">
        <v>3</v>
      </c>
      <c r="I43" s="16" t="s">
        <v>129</v>
      </c>
      <c r="J43" s="16">
        <v>6.59</v>
      </c>
      <c r="K43" s="16">
        <v>2</v>
      </c>
      <c r="L43" s="3"/>
      <c r="M43" s="3"/>
      <c r="O43" s="3"/>
      <c r="P43" s="16">
        <f t="shared" si="0"/>
        <v>1.7202784652333272</v>
      </c>
      <c r="Q43" s="38">
        <f t="shared" si="1"/>
        <v>1.7202784652333272</v>
      </c>
      <c r="R43" s="23"/>
      <c r="S43" s="29">
        <v>21</v>
      </c>
      <c r="T43" s="30">
        <f>STDEV(Q158:Q160)</f>
        <v>0.30376895090945932</v>
      </c>
      <c r="U43" s="30">
        <f>STDEV(Q161:Q163)</f>
        <v>0.28685522302493377</v>
      </c>
      <c r="V43" s="16">
        <f>STDEV(Q164:Q166)</f>
        <v>0.41807525069368706</v>
      </c>
      <c r="W43" s="30">
        <f>STDEV(Q167:AM169)</f>
        <v>0.42365734147833517</v>
      </c>
      <c r="X43" s="30">
        <f>STDEV(Q170:Q172)</f>
        <v>0.49269224697748792</v>
      </c>
      <c r="Y43" s="30">
        <f>STDEV(Q173:Q175)</f>
        <v>0.34729116036401375</v>
      </c>
      <c r="Z43" s="31">
        <f>STDEV(Q176:Q178)</f>
        <v>3.8468799682603555E-2</v>
      </c>
    </row>
    <row r="44" spans="1:39" ht="15.75" customHeight="1" x14ac:dyDescent="0.15">
      <c r="A44" s="37">
        <v>45836</v>
      </c>
      <c r="B44" s="16">
        <v>11</v>
      </c>
      <c r="C44" s="16">
        <v>3</v>
      </c>
      <c r="E44" s="42" t="s">
        <v>133</v>
      </c>
      <c r="F44" s="16">
        <v>2000</v>
      </c>
      <c r="G44" s="16">
        <v>2000</v>
      </c>
      <c r="H44" s="3">
        <v>1</v>
      </c>
      <c r="I44" s="16" t="s">
        <v>129</v>
      </c>
      <c r="J44" s="16">
        <v>3.22</v>
      </c>
      <c r="K44" s="16">
        <v>2</v>
      </c>
      <c r="L44" s="3"/>
      <c r="M44" s="3"/>
      <c r="O44" s="3"/>
      <c r="P44" s="16">
        <f t="shared" si="0"/>
        <v>0.68706068833989242</v>
      </c>
      <c r="Q44" s="38">
        <f t="shared" si="1"/>
        <v>0.68706068833989242</v>
      </c>
      <c r="R44" s="16"/>
    </row>
    <row r="45" spans="1:39" ht="15.75" customHeight="1" x14ac:dyDescent="0.15">
      <c r="A45" s="37">
        <v>45836</v>
      </c>
      <c r="B45" s="16">
        <v>11</v>
      </c>
      <c r="C45" s="16">
        <v>3</v>
      </c>
      <c r="E45" s="42" t="s">
        <v>133</v>
      </c>
      <c r="F45" s="16">
        <v>2000</v>
      </c>
      <c r="G45" s="16">
        <v>2000</v>
      </c>
      <c r="H45" s="3">
        <v>2</v>
      </c>
      <c r="I45" s="16" t="s">
        <v>129</v>
      </c>
      <c r="J45" s="16">
        <v>4.32</v>
      </c>
      <c r="K45" s="16">
        <v>2</v>
      </c>
      <c r="L45" s="3"/>
      <c r="M45" s="3"/>
      <c r="O45" s="3"/>
      <c r="P45" s="16">
        <f t="shared" si="0"/>
        <v>1.1110313123887441</v>
      </c>
      <c r="Q45" s="38">
        <f t="shared" si="1"/>
        <v>1.1110313123887441</v>
      </c>
      <c r="R45" s="16"/>
    </row>
    <row r="46" spans="1:39" ht="15.75" customHeight="1" x14ac:dyDescent="0.15">
      <c r="A46" s="37">
        <v>45836</v>
      </c>
      <c r="B46" s="16">
        <v>11</v>
      </c>
      <c r="C46" s="16">
        <v>3</v>
      </c>
      <c r="E46" s="42" t="s">
        <v>133</v>
      </c>
      <c r="F46" s="16">
        <v>2000</v>
      </c>
      <c r="G46" s="16">
        <v>2000</v>
      </c>
      <c r="H46" s="3">
        <v>3</v>
      </c>
      <c r="I46" s="16" t="s">
        <v>129</v>
      </c>
      <c r="J46" s="16">
        <v>6.59</v>
      </c>
      <c r="K46" s="16">
        <v>2</v>
      </c>
      <c r="L46" s="3"/>
      <c r="M46" s="3"/>
      <c r="O46" s="3"/>
      <c r="P46" s="16">
        <f t="shared" si="0"/>
        <v>1.7202784652333272</v>
      </c>
      <c r="Q46" s="38">
        <f t="shared" si="1"/>
        <v>1.7202784652333272</v>
      </c>
      <c r="R46" s="16"/>
    </row>
    <row r="47" spans="1:39" ht="15.75" customHeight="1" x14ac:dyDescent="0.15">
      <c r="A47" s="37">
        <v>45836</v>
      </c>
      <c r="B47" s="16">
        <v>11</v>
      </c>
      <c r="C47" s="16">
        <v>3</v>
      </c>
      <c r="E47" s="43" t="s">
        <v>135</v>
      </c>
      <c r="F47" s="16">
        <v>5000</v>
      </c>
      <c r="G47" s="16">
        <v>5000</v>
      </c>
      <c r="H47" s="3">
        <v>1</v>
      </c>
      <c r="I47" s="16" t="s">
        <v>129</v>
      </c>
      <c r="J47" s="16">
        <v>4.0199999999999996</v>
      </c>
      <c r="K47" s="16">
        <v>2</v>
      </c>
      <c r="L47" s="3"/>
      <c r="M47" s="3"/>
      <c r="O47" s="3"/>
      <c r="P47" s="16">
        <f t="shared" si="0"/>
        <v>1.0071955014042038</v>
      </c>
      <c r="Q47" s="38">
        <f t="shared" si="1"/>
        <v>1.0071955014042038</v>
      </c>
      <c r="R47" s="23"/>
    </row>
    <row r="48" spans="1:39" ht="15.75" customHeight="1" x14ac:dyDescent="0.15">
      <c r="A48" s="37">
        <v>45836</v>
      </c>
      <c r="B48" s="16">
        <v>11</v>
      </c>
      <c r="C48" s="16">
        <v>3</v>
      </c>
      <c r="E48" s="43" t="s">
        <v>135</v>
      </c>
      <c r="F48" s="16">
        <v>5000</v>
      </c>
      <c r="G48" s="16">
        <v>5000</v>
      </c>
      <c r="H48" s="3">
        <v>2</v>
      </c>
      <c r="I48" s="16" t="s">
        <v>129</v>
      </c>
      <c r="J48" s="16">
        <v>4.3600000000000003</v>
      </c>
      <c r="K48" s="16">
        <v>2</v>
      </c>
      <c r="L48" s="3"/>
      <c r="M48" s="3"/>
      <c r="O48" s="3"/>
      <c r="P48" s="16">
        <f t="shared" si="0"/>
        <v>1.1243281350022019</v>
      </c>
      <c r="Q48" s="38">
        <f t="shared" si="1"/>
        <v>1.1243281350022019</v>
      </c>
      <c r="R48" s="23"/>
    </row>
    <row r="49" spans="1:39" ht="15.75" customHeight="1" x14ac:dyDescent="0.15">
      <c r="A49" s="37">
        <v>45836</v>
      </c>
      <c r="B49" s="16">
        <v>11</v>
      </c>
      <c r="C49" s="16">
        <v>3</v>
      </c>
      <c r="E49" s="43" t="s">
        <v>135</v>
      </c>
      <c r="F49" s="16">
        <v>5000</v>
      </c>
      <c r="G49" s="16">
        <v>5000</v>
      </c>
      <c r="H49" s="3">
        <v>3</v>
      </c>
      <c r="I49" s="16" t="s">
        <v>129</v>
      </c>
      <c r="J49" s="16">
        <v>4.38</v>
      </c>
      <c r="K49" s="16">
        <v>2</v>
      </c>
      <c r="L49" s="3"/>
      <c r="M49" s="3"/>
      <c r="O49" s="3"/>
      <c r="P49" s="16">
        <f t="shared" si="0"/>
        <v>1.1309308698264486</v>
      </c>
      <c r="Q49" s="38">
        <f t="shared" si="1"/>
        <v>1.1309308698264486</v>
      </c>
      <c r="R49" s="23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</row>
    <row r="50" spans="1:39" ht="15.75" customHeight="1" x14ac:dyDescent="0.15">
      <c r="A50" s="37">
        <v>45836</v>
      </c>
      <c r="B50" s="16">
        <v>11</v>
      </c>
      <c r="C50" s="16">
        <v>3</v>
      </c>
      <c r="E50" s="44" t="s">
        <v>136</v>
      </c>
      <c r="F50" s="16">
        <v>5000</v>
      </c>
      <c r="G50" s="16">
        <v>0</v>
      </c>
      <c r="H50" s="3">
        <v>1</v>
      </c>
      <c r="I50" s="16" t="s">
        <v>129</v>
      </c>
      <c r="J50" s="16">
        <v>1.93</v>
      </c>
      <c r="K50" s="16">
        <v>1.93</v>
      </c>
      <c r="L50" s="3"/>
      <c r="M50" s="3"/>
      <c r="N50" s="18"/>
      <c r="O50" s="3"/>
      <c r="P50" s="16">
        <f t="shared" si="0"/>
        <v>-5.1399152506644327E-2</v>
      </c>
      <c r="Q50" s="38">
        <f t="shared" si="1"/>
        <v>-5.1399152506644327E-2</v>
      </c>
      <c r="R50" s="23"/>
    </row>
    <row r="51" spans="1:39" ht="13" x14ac:dyDescent="0.15">
      <c r="A51" s="37">
        <v>45836</v>
      </c>
      <c r="B51" s="16">
        <v>11</v>
      </c>
      <c r="C51" s="16">
        <v>3</v>
      </c>
      <c r="E51" s="44" t="s">
        <v>136</v>
      </c>
      <c r="F51" s="16">
        <v>5000</v>
      </c>
      <c r="G51" s="16">
        <v>0</v>
      </c>
      <c r="H51" s="3">
        <v>2</v>
      </c>
      <c r="I51" s="16" t="s">
        <v>129</v>
      </c>
      <c r="J51" s="16">
        <v>1.98</v>
      </c>
      <c r="K51" s="16">
        <v>1.98</v>
      </c>
      <c r="L51" s="3"/>
      <c r="M51" s="3"/>
      <c r="O51" s="3"/>
      <c r="P51" s="16">
        <f t="shared" si="0"/>
        <v>-1.4499569695115091E-2</v>
      </c>
      <c r="Q51" s="38">
        <f t="shared" si="1"/>
        <v>-1.4499569695115091E-2</v>
      </c>
      <c r="R51" s="23"/>
    </row>
    <row r="52" spans="1:39" ht="13" x14ac:dyDescent="0.15">
      <c r="A52" s="37">
        <v>45836</v>
      </c>
      <c r="B52" s="16">
        <v>11</v>
      </c>
      <c r="C52" s="16">
        <v>3</v>
      </c>
      <c r="E52" s="44" t="s">
        <v>136</v>
      </c>
      <c r="F52" s="16">
        <v>5000</v>
      </c>
      <c r="G52" s="16">
        <v>0</v>
      </c>
      <c r="H52" s="3">
        <v>3</v>
      </c>
      <c r="I52" s="16" t="s">
        <v>129</v>
      </c>
      <c r="J52" s="16">
        <v>1.81</v>
      </c>
      <c r="K52" s="16">
        <v>1.81</v>
      </c>
      <c r="L52" s="3"/>
      <c r="M52" s="3"/>
      <c r="O52" s="3"/>
      <c r="P52" s="16">
        <f t="shared" si="0"/>
        <v>-0.14401030269151929</v>
      </c>
      <c r="Q52" s="38">
        <f t="shared" si="1"/>
        <v>-0.14401030269151929</v>
      </c>
      <c r="R52" s="23"/>
    </row>
    <row r="53" spans="1:39" ht="13" x14ac:dyDescent="0.15">
      <c r="A53" s="32">
        <v>45839</v>
      </c>
      <c r="B53" s="33">
        <v>14</v>
      </c>
      <c r="C53" s="33">
        <v>6</v>
      </c>
      <c r="D53" s="33"/>
      <c r="E53" s="33" t="s">
        <v>32</v>
      </c>
      <c r="F53" s="34">
        <v>2.2499999999999999E-4</v>
      </c>
      <c r="G53" s="34">
        <v>2.2499999999999999E-4</v>
      </c>
      <c r="H53" s="35">
        <v>1</v>
      </c>
      <c r="I53" s="33" t="s">
        <v>129</v>
      </c>
      <c r="J53" s="33">
        <v>7.05</v>
      </c>
      <c r="K53" s="33">
        <v>2</v>
      </c>
      <c r="L53" s="35"/>
      <c r="M53" s="35"/>
      <c r="N53" s="50"/>
      <c r="O53" s="35"/>
      <c r="P53" s="51">
        <f t="shared" ref="P53:P178" si="2">LOG(J53/K32,2)</f>
        <v>1.8176232575114313</v>
      </c>
      <c r="Q53" s="36">
        <f t="shared" ref="Q53:Q178" si="3">P53+Q32</f>
        <v>4.2770548761487284</v>
      </c>
      <c r="R53" s="33"/>
    </row>
    <row r="54" spans="1:39" ht="13" x14ac:dyDescent="0.15">
      <c r="A54" s="37">
        <v>45839</v>
      </c>
      <c r="B54" s="16">
        <v>14</v>
      </c>
      <c r="C54" s="16">
        <v>6</v>
      </c>
      <c r="E54" s="16" t="s">
        <v>32</v>
      </c>
      <c r="F54" s="22">
        <v>2.2499999999999999E-4</v>
      </c>
      <c r="G54" s="22">
        <v>2.2499999999999999E-4</v>
      </c>
      <c r="H54" s="3">
        <v>2</v>
      </c>
      <c r="I54" s="16" t="s">
        <v>129</v>
      </c>
      <c r="J54" s="16">
        <v>7.28</v>
      </c>
      <c r="K54" s="16">
        <v>2</v>
      </c>
      <c r="L54" s="3"/>
      <c r="M54" s="3"/>
      <c r="O54" s="3"/>
      <c r="P54" s="52">
        <f t="shared" si="2"/>
        <v>1.8639384504239718</v>
      </c>
      <c r="Q54" s="36">
        <f t="shared" si="3"/>
        <v>4.349365277594214</v>
      </c>
    </row>
    <row r="55" spans="1:39" ht="13" x14ac:dyDescent="0.15">
      <c r="A55" s="37">
        <v>45839</v>
      </c>
      <c r="B55" s="16">
        <v>14</v>
      </c>
      <c r="C55" s="16">
        <v>6</v>
      </c>
      <c r="E55" s="16" t="s">
        <v>32</v>
      </c>
      <c r="F55" s="22">
        <v>2.2499999999999999E-4</v>
      </c>
      <c r="G55" s="22">
        <v>2.2499999999999999E-4</v>
      </c>
      <c r="H55" s="3">
        <v>3</v>
      </c>
      <c r="I55" s="16" t="s">
        <v>129</v>
      </c>
      <c r="J55" s="16">
        <v>6.24</v>
      </c>
      <c r="K55" s="16">
        <v>2</v>
      </c>
      <c r="L55" s="3"/>
      <c r="M55" s="3"/>
      <c r="O55" s="3"/>
      <c r="P55" s="52">
        <f t="shared" si="2"/>
        <v>1.6415460290875239</v>
      </c>
      <c r="Q55" s="36">
        <f t="shared" si="3"/>
        <v>4.2854022188622487</v>
      </c>
    </row>
    <row r="56" spans="1:39" ht="13" x14ac:dyDescent="0.15">
      <c r="A56" s="37">
        <v>45839</v>
      </c>
      <c r="B56" s="16">
        <v>14</v>
      </c>
      <c r="C56" s="16">
        <v>6</v>
      </c>
      <c r="E56" s="39" t="s">
        <v>130</v>
      </c>
      <c r="F56" s="16">
        <v>4000</v>
      </c>
      <c r="G56" s="16">
        <v>4000</v>
      </c>
      <c r="H56" s="3">
        <v>1</v>
      </c>
      <c r="I56" s="16" t="s">
        <v>129</v>
      </c>
      <c r="J56" s="16">
        <v>3.29</v>
      </c>
      <c r="K56" s="16">
        <v>2</v>
      </c>
      <c r="L56" s="3"/>
      <c r="M56" s="3"/>
      <c r="N56" s="18"/>
      <c r="O56" s="3"/>
      <c r="P56" s="52">
        <f t="shared" si="2"/>
        <v>0.71808758396051686</v>
      </c>
      <c r="Q56" s="36">
        <f t="shared" si="3"/>
        <v>2.4185273021016092</v>
      </c>
      <c r="R56" s="23"/>
    </row>
    <row r="57" spans="1:39" ht="13" x14ac:dyDescent="0.15">
      <c r="A57" s="37">
        <v>45839</v>
      </c>
      <c r="B57" s="16">
        <v>14</v>
      </c>
      <c r="C57" s="16">
        <v>6</v>
      </c>
      <c r="E57" s="39" t="s">
        <v>130</v>
      </c>
      <c r="F57" s="16">
        <v>4000</v>
      </c>
      <c r="G57" s="16">
        <v>4000</v>
      </c>
      <c r="H57" s="3">
        <v>2</v>
      </c>
      <c r="I57" s="16" t="s">
        <v>129</v>
      </c>
      <c r="J57" s="16">
        <v>3.78</v>
      </c>
      <c r="K57" s="16">
        <v>2</v>
      </c>
      <c r="L57" s="3"/>
      <c r="M57" s="3"/>
      <c r="O57" s="3"/>
      <c r="P57" s="52">
        <f t="shared" si="2"/>
        <v>0.91838623444634793</v>
      </c>
      <c r="Q57" s="36">
        <f t="shared" si="3"/>
        <v>2.2228972762563011</v>
      </c>
      <c r="R57" s="23"/>
    </row>
    <row r="58" spans="1:39" ht="13" x14ac:dyDescent="0.15">
      <c r="A58" s="37">
        <v>45839</v>
      </c>
      <c r="B58" s="16">
        <v>14</v>
      </c>
      <c r="C58" s="16">
        <v>6</v>
      </c>
      <c r="E58" s="39" t="s">
        <v>130</v>
      </c>
      <c r="F58" s="16">
        <v>4000</v>
      </c>
      <c r="G58" s="16">
        <v>4000</v>
      </c>
      <c r="H58" s="3">
        <v>3</v>
      </c>
      <c r="I58" s="16" t="s">
        <v>129</v>
      </c>
      <c r="J58" s="16">
        <v>3.45</v>
      </c>
      <c r="K58" s="16">
        <v>2</v>
      </c>
      <c r="L58" s="3"/>
      <c r="M58" s="3"/>
      <c r="O58" s="3"/>
      <c r="P58" s="52">
        <f t="shared" si="2"/>
        <v>0.78659636189080673</v>
      </c>
      <c r="Q58" s="36">
        <f t="shared" si="3"/>
        <v>2.3350329865868487</v>
      </c>
      <c r="R58" s="23"/>
    </row>
    <row r="59" spans="1:39" ht="13" x14ac:dyDescent="0.15">
      <c r="A59" s="37">
        <v>45839</v>
      </c>
      <c r="B59" s="16">
        <v>14</v>
      </c>
      <c r="C59" s="16">
        <v>6</v>
      </c>
      <c r="E59" s="40" t="s">
        <v>131</v>
      </c>
      <c r="F59" s="16">
        <v>8000</v>
      </c>
      <c r="G59" s="16">
        <v>0</v>
      </c>
      <c r="H59" s="3">
        <v>1</v>
      </c>
      <c r="I59" s="16" t="s">
        <v>129</v>
      </c>
      <c r="J59" s="16">
        <v>2.0099999999999998</v>
      </c>
      <c r="K59" s="16">
        <v>2.0099999999999998</v>
      </c>
      <c r="L59" s="3"/>
      <c r="M59" s="3"/>
      <c r="O59" s="3"/>
      <c r="P59" s="52">
        <f t="shared" si="2"/>
        <v>7.1955014042037668E-3</v>
      </c>
      <c r="Q59" s="36">
        <f t="shared" si="3"/>
        <v>1.6987296663234039</v>
      </c>
      <c r="R59" s="23"/>
    </row>
    <row r="60" spans="1:39" ht="13" x14ac:dyDescent="0.15">
      <c r="A60" s="37">
        <v>45839</v>
      </c>
      <c r="B60" s="16">
        <v>14</v>
      </c>
      <c r="C60" s="16">
        <v>6</v>
      </c>
      <c r="E60" s="40" t="s">
        <v>131</v>
      </c>
      <c r="F60" s="16">
        <v>8000</v>
      </c>
      <c r="G60" s="16">
        <v>0</v>
      </c>
      <c r="H60" s="3">
        <v>2</v>
      </c>
      <c r="I60" s="16" t="s">
        <v>129</v>
      </c>
      <c r="J60" s="16">
        <v>2.12</v>
      </c>
      <c r="K60" s="16">
        <v>2.12</v>
      </c>
      <c r="L60" s="3"/>
      <c r="M60" s="3"/>
      <c r="O60" s="3"/>
      <c r="P60" s="52">
        <f t="shared" si="2"/>
        <v>8.4064264788474549E-2</v>
      </c>
      <c r="Q60" s="36">
        <f t="shared" si="3"/>
        <v>1.161307263720935</v>
      </c>
      <c r="R60" s="23"/>
    </row>
    <row r="61" spans="1:39" ht="13" x14ac:dyDescent="0.15">
      <c r="A61" s="37">
        <v>45839</v>
      </c>
      <c r="B61" s="16">
        <v>14</v>
      </c>
      <c r="C61" s="16">
        <v>6</v>
      </c>
      <c r="E61" s="40" t="s">
        <v>131</v>
      </c>
      <c r="F61" s="16">
        <v>8000</v>
      </c>
      <c r="G61" s="16">
        <v>0</v>
      </c>
      <c r="H61" s="3">
        <v>3</v>
      </c>
      <c r="I61" s="16" t="s">
        <v>129</v>
      </c>
      <c r="J61" s="16">
        <v>2.16</v>
      </c>
      <c r="K61" s="16">
        <v>2.16</v>
      </c>
      <c r="L61" s="3"/>
      <c r="M61" s="3"/>
      <c r="O61" s="3"/>
      <c r="P61" s="52">
        <f t="shared" si="2"/>
        <v>0.11103131238874395</v>
      </c>
      <c r="Q61" s="36">
        <f t="shared" si="3"/>
        <v>1.1571730940334646</v>
      </c>
      <c r="R61" s="23"/>
    </row>
    <row r="62" spans="1:39" ht="13" x14ac:dyDescent="0.15">
      <c r="A62" s="37">
        <v>45839</v>
      </c>
      <c r="B62" s="16">
        <v>14</v>
      </c>
      <c r="C62" s="16">
        <v>6</v>
      </c>
      <c r="E62" s="41" t="s">
        <v>132</v>
      </c>
      <c r="F62" s="16">
        <v>10000</v>
      </c>
      <c r="G62" s="16">
        <v>10000</v>
      </c>
      <c r="H62" s="3">
        <v>1</v>
      </c>
      <c r="I62" s="16" t="s">
        <v>129</v>
      </c>
      <c r="J62" s="16">
        <v>4.18</v>
      </c>
      <c r="K62" s="16">
        <v>2</v>
      </c>
      <c r="O62" s="3"/>
      <c r="P62" s="52">
        <f t="shared" si="2"/>
        <v>1.0635029423061579</v>
      </c>
      <c r="Q62" s="36">
        <f t="shared" si="3"/>
        <v>2.6911097804358075</v>
      </c>
      <c r="R62" s="23"/>
    </row>
    <row r="63" spans="1:39" ht="13" x14ac:dyDescent="0.15">
      <c r="A63" s="37">
        <v>45839</v>
      </c>
      <c r="B63" s="16">
        <v>14</v>
      </c>
      <c r="C63" s="16">
        <v>6</v>
      </c>
      <c r="E63" s="41" t="s">
        <v>132</v>
      </c>
      <c r="F63" s="16">
        <v>10000</v>
      </c>
      <c r="G63" s="16">
        <v>10000</v>
      </c>
      <c r="H63" s="3">
        <v>2</v>
      </c>
      <c r="I63" s="16" t="s">
        <v>129</v>
      </c>
      <c r="J63" s="16">
        <v>3.68</v>
      </c>
      <c r="K63" s="16">
        <v>2</v>
      </c>
      <c r="O63" s="3"/>
      <c r="P63" s="52">
        <f t="shared" si="2"/>
        <v>0.87970576628228825</v>
      </c>
      <c r="Q63" s="36">
        <f t="shared" si="3"/>
        <v>2.7672310370238762</v>
      </c>
      <c r="R63" s="23"/>
    </row>
    <row r="64" spans="1:39" ht="13" x14ac:dyDescent="0.15">
      <c r="A64" s="37">
        <v>45839</v>
      </c>
      <c r="B64" s="16">
        <v>14</v>
      </c>
      <c r="C64" s="16">
        <v>6</v>
      </c>
      <c r="E64" s="41" t="s">
        <v>132</v>
      </c>
      <c r="F64" s="16">
        <v>10000</v>
      </c>
      <c r="G64" s="16">
        <v>10000</v>
      </c>
      <c r="H64" s="3">
        <v>3</v>
      </c>
      <c r="I64" s="16" t="s">
        <v>129</v>
      </c>
      <c r="J64" s="16">
        <v>4.0199999999999996</v>
      </c>
      <c r="K64" s="16">
        <v>2</v>
      </c>
      <c r="O64" s="3"/>
      <c r="P64" s="52">
        <f t="shared" si="2"/>
        <v>1.0071955014042038</v>
      </c>
      <c r="Q64" s="36">
        <f t="shared" si="3"/>
        <v>2.7274739666375307</v>
      </c>
      <c r="R64" s="23"/>
    </row>
    <row r="65" spans="1:18" ht="13" x14ac:dyDescent="0.15">
      <c r="A65" s="37">
        <v>45839</v>
      </c>
      <c r="B65" s="16">
        <v>14</v>
      </c>
      <c r="C65" s="16">
        <v>6</v>
      </c>
      <c r="E65" s="42" t="s">
        <v>133</v>
      </c>
      <c r="F65" s="16">
        <v>2000</v>
      </c>
      <c r="G65" s="16">
        <v>0</v>
      </c>
      <c r="H65" s="3">
        <v>1</v>
      </c>
      <c r="I65" s="16" t="s">
        <v>129</v>
      </c>
      <c r="J65" s="16">
        <v>2.29</v>
      </c>
      <c r="K65" s="16">
        <v>2.29</v>
      </c>
      <c r="N65" s="18"/>
      <c r="O65" s="3"/>
      <c r="P65" s="52">
        <f t="shared" si="2"/>
        <v>0.19534759832221926</v>
      </c>
      <c r="Q65" s="36">
        <f t="shared" si="3"/>
        <v>0.88240828666211168</v>
      </c>
      <c r="R65" s="16"/>
    </row>
    <row r="66" spans="1:18" ht="13" x14ac:dyDescent="0.15">
      <c r="A66" s="37">
        <v>45839</v>
      </c>
      <c r="B66" s="16">
        <v>14</v>
      </c>
      <c r="C66" s="16">
        <v>6</v>
      </c>
      <c r="E66" s="42" t="s">
        <v>133</v>
      </c>
      <c r="F66" s="16">
        <v>2000</v>
      </c>
      <c r="G66" s="16">
        <v>0</v>
      </c>
      <c r="H66" s="3">
        <v>2</v>
      </c>
      <c r="I66" s="16" t="s">
        <v>129</v>
      </c>
      <c r="J66" s="16">
        <v>1.93</v>
      </c>
      <c r="K66" s="16">
        <v>1.93</v>
      </c>
      <c r="O66" s="3"/>
      <c r="P66" s="52">
        <f t="shared" si="2"/>
        <v>-5.1399152506644327E-2</v>
      </c>
      <c r="Q66" s="36">
        <f t="shared" si="3"/>
        <v>1.0596321598820997</v>
      </c>
      <c r="R66" s="16"/>
    </row>
    <row r="67" spans="1:18" ht="13" x14ac:dyDescent="0.15">
      <c r="A67" s="37">
        <v>45839</v>
      </c>
      <c r="B67" s="16">
        <v>14</v>
      </c>
      <c r="C67" s="16">
        <v>6</v>
      </c>
      <c r="E67" s="42" t="s">
        <v>133</v>
      </c>
      <c r="F67" s="16">
        <v>2000</v>
      </c>
      <c r="G67" s="16">
        <v>0</v>
      </c>
      <c r="H67" s="3">
        <v>3</v>
      </c>
      <c r="I67" s="16" t="s">
        <v>129</v>
      </c>
      <c r="J67" s="16">
        <v>1.7</v>
      </c>
      <c r="K67" s="16">
        <v>1.7</v>
      </c>
      <c r="O67" s="3"/>
      <c r="P67" s="52">
        <f t="shared" si="2"/>
        <v>-0.23446525363702297</v>
      </c>
      <c r="Q67" s="36">
        <f t="shared" si="3"/>
        <v>1.4858132115963043</v>
      </c>
      <c r="R67" s="16"/>
    </row>
    <row r="68" spans="1:18" ht="13" x14ac:dyDescent="0.15">
      <c r="A68" s="37">
        <v>45839</v>
      </c>
      <c r="B68" s="16">
        <v>14</v>
      </c>
      <c r="C68" s="16">
        <v>6</v>
      </c>
      <c r="E68" s="43" t="s">
        <v>135</v>
      </c>
      <c r="F68" s="16">
        <v>5000</v>
      </c>
      <c r="G68" s="16">
        <v>0</v>
      </c>
      <c r="H68" s="3">
        <v>1</v>
      </c>
      <c r="I68" s="16" t="s">
        <v>129</v>
      </c>
      <c r="J68" s="16">
        <v>1.91</v>
      </c>
      <c r="K68" s="16">
        <v>1.91</v>
      </c>
      <c r="O68" s="3"/>
      <c r="P68" s="52">
        <f t="shared" si="2"/>
        <v>-6.6427361738976065E-2</v>
      </c>
      <c r="Q68" s="36">
        <f t="shared" si="3"/>
        <v>0.94076813966522765</v>
      </c>
      <c r="R68" s="23"/>
    </row>
    <row r="69" spans="1:18" ht="13" x14ac:dyDescent="0.15">
      <c r="A69" s="37">
        <v>45839</v>
      </c>
      <c r="B69" s="16">
        <v>14</v>
      </c>
      <c r="C69" s="16">
        <v>6</v>
      </c>
      <c r="E69" s="43" t="s">
        <v>135</v>
      </c>
      <c r="F69" s="16">
        <v>5000</v>
      </c>
      <c r="G69" s="16">
        <v>0</v>
      </c>
      <c r="H69" s="3">
        <v>2</v>
      </c>
      <c r="I69" s="16" t="s">
        <v>129</v>
      </c>
      <c r="J69" s="16">
        <v>2.12</v>
      </c>
      <c r="K69" s="16">
        <v>2.12</v>
      </c>
      <c r="O69" s="3"/>
      <c r="P69" s="52">
        <f t="shared" si="2"/>
        <v>8.4064264788474549E-2</v>
      </c>
      <c r="Q69" s="36">
        <f t="shared" si="3"/>
        <v>1.2083923997906765</v>
      </c>
      <c r="R69" s="23"/>
    </row>
    <row r="70" spans="1:18" ht="13" x14ac:dyDescent="0.15">
      <c r="A70" s="37">
        <v>45839</v>
      </c>
      <c r="B70" s="16">
        <v>14</v>
      </c>
      <c r="C70" s="16">
        <v>6</v>
      </c>
      <c r="E70" s="43" t="s">
        <v>135</v>
      </c>
      <c r="F70" s="16">
        <v>5000</v>
      </c>
      <c r="G70" s="16">
        <v>0</v>
      </c>
      <c r="H70" s="3">
        <v>3</v>
      </c>
      <c r="I70" s="16" t="s">
        <v>129</v>
      </c>
      <c r="J70" s="16">
        <v>2.41</v>
      </c>
      <c r="K70" s="16">
        <v>2.41</v>
      </c>
      <c r="O70" s="3"/>
      <c r="P70" s="52">
        <f t="shared" si="2"/>
        <v>0.26903314645523702</v>
      </c>
      <c r="Q70" s="36">
        <f t="shared" si="3"/>
        <v>1.3999640162816855</v>
      </c>
      <c r="R70" s="23"/>
    </row>
    <row r="71" spans="1:18" ht="13" x14ac:dyDescent="0.15">
      <c r="A71" s="37">
        <v>45839</v>
      </c>
      <c r="B71" s="16">
        <v>14</v>
      </c>
      <c r="C71" s="16">
        <v>6</v>
      </c>
      <c r="E71" s="44" t="s">
        <v>136</v>
      </c>
      <c r="F71" s="16">
        <v>5000</v>
      </c>
      <c r="G71" s="16">
        <v>0</v>
      </c>
      <c r="H71" s="3">
        <v>1</v>
      </c>
      <c r="I71" s="16" t="s">
        <v>129</v>
      </c>
      <c r="J71" s="16">
        <v>2.97</v>
      </c>
      <c r="K71" s="16">
        <v>2.97</v>
      </c>
      <c r="O71" s="3"/>
      <c r="P71" s="52">
        <f t="shared" si="2"/>
        <v>0.62186208353268546</v>
      </c>
      <c r="Q71" s="36">
        <f t="shared" si="3"/>
        <v>0.57046293102604118</v>
      </c>
      <c r="R71" s="23"/>
    </row>
    <row r="72" spans="1:18" ht="13" x14ac:dyDescent="0.15">
      <c r="A72" s="37">
        <v>45839</v>
      </c>
      <c r="B72" s="16">
        <v>14</v>
      </c>
      <c r="C72" s="16">
        <v>6</v>
      </c>
      <c r="E72" s="44" t="s">
        <v>136</v>
      </c>
      <c r="F72" s="16">
        <v>5000</v>
      </c>
      <c r="G72" s="16">
        <v>0</v>
      </c>
      <c r="H72" s="3">
        <v>2</v>
      </c>
      <c r="I72" s="16" t="s">
        <v>129</v>
      </c>
      <c r="J72" s="16">
        <v>1.84</v>
      </c>
      <c r="K72" s="16">
        <v>1.84</v>
      </c>
      <c r="O72" s="3"/>
      <c r="P72" s="52">
        <f t="shared" si="2"/>
        <v>-0.1057946640225966</v>
      </c>
      <c r="Q72" s="36">
        <f t="shared" si="3"/>
        <v>-0.1202942337177117</v>
      </c>
      <c r="R72" s="23"/>
    </row>
    <row r="73" spans="1:18" ht="13" x14ac:dyDescent="0.15">
      <c r="A73" s="45">
        <v>45839</v>
      </c>
      <c r="B73" s="46">
        <v>14</v>
      </c>
      <c r="C73" s="46">
        <v>6</v>
      </c>
      <c r="D73" s="46"/>
      <c r="E73" s="47" t="s">
        <v>136</v>
      </c>
      <c r="F73" s="46">
        <v>5000</v>
      </c>
      <c r="G73" s="46">
        <v>0</v>
      </c>
      <c r="H73" s="48">
        <v>3</v>
      </c>
      <c r="I73" s="46" t="s">
        <v>129</v>
      </c>
      <c r="J73" s="46">
        <v>1.9</v>
      </c>
      <c r="K73" s="46">
        <v>1.9</v>
      </c>
      <c r="L73" s="46"/>
      <c r="M73" s="46"/>
      <c r="N73" s="46"/>
      <c r="O73" s="3"/>
      <c r="P73" s="52">
        <f t="shared" si="2"/>
        <v>7.0009721247742462E-2</v>
      </c>
      <c r="Q73" s="36">
        <f t="shared" si="3"/>
        <v>-7.4000581443776831E-2</v>
      </c>
      <c r="R73" s="23"/>
    </row>
    <row r="74" spans="1:18" ht="13" x14ac:dyDescent="0.15">
      <c r="A74" s="32">
        <v>45842</v>
      </c>
      <c r="B74" s="33">
        <v>17</v>
      </c>
      <c r="C74" s="33">
        <v>9</v>
      </c>
      <c r="D74" s="33"/>
      <c r="E74" s="33" t="s">
        <v>32</v>
      </c>
      <c r="F74" s="34">
        <v>2.2499999999999999E-4</v>
      </c>
      <c r="G74" s="34">
        <v>2.2499999999999999E-4</v>
      </c>
      <c r="H74" s="35">
        <v>1</v>
      </c>
      <c r="I74" s="33" t="s">
        <v>129</v>
      </c>
      <c r="J74" s="33">
        <v>9.6</v>
      </c>
      <c r="K74" s="33">
        <v>2</v>
      </c>
      <c r="L74" s="33"/>
      <c r="M74" s="33"/>
      <c r="N74" s="33"/>
      <c r="O74" s="35"/>
      <c r="P74" s="51">
        <f t="shared" si="2"/>
        <v>2.2630344058337939</v>
      </c>
      <c r="Q74" s="36">
        <f t="shared" si="3"/>
        <v>6.5400892819825227</v>
      </c>
      <c r="R74" s="33"/>
    </row>
    <row r="75" spans="1:18" ht="13" x14ac:dyDescent="0.15">
      <c r="A75" s="37">
        <v>45842</v>
      </c>
      <c r="B75" s="16">
        <v>17</v>
      </c>
      <c r="C75" s="16">
        <v>9</v>
      </c>
      <c r="E75" s="16" t="s">
        <v>32</v>
      </c>
      <c r="F75" s="22">
        <v>2.2499999999999999E-4</v>
      </c>
      <c r="G75" s="22">
        <v>2.2499999999999999E-4</v>
      </c>
      <c r="H75" s="3">
        <v>2</v>
      </c>
      <c r="I75" s="16" t="s">
        <v>129</v>
      </c>
      <c r="J75" s="16">
        <v>7.36</v>
      </c>
      <c r="K75" s="16">
        <v>2</v>
      </c>
      <c r="O75" s="3"/>
      <c r="P75" s="52">
        <f t="shared" si="2"/>
        <v>1.8797057662822885</v>
      </c>
      <c r="Q75" s="36">
        <f t="shared" si="3"/>
        <v>6.2290710438765027</v>
      </c>
    </row>
    <row r="76" spans="1:18" ht="13" x14ac:dyDescent="0.15">
      <c r="A76" s="37">
        <v>45842</v>
      </c>
      <c r="B76" s="16">
        <v>17</v>
      </c>
      <c r="C76" s="16">
        <v>9</v>
      </c>
      <c r="E76" s="16" t="s">
        <v>32</v>
      </c>
      <c r="F76" s="22">
        <v>2.2499999999999999E-4</v>
      </c>
      <c r="G76" s="22">
        <v>2.2499999999999999E-4</v>
      </c>
      <c r="H76" s="3">
        <v>3</v>
      </c>
      <c r="I76" s="16" t="s">
        <v>129</v>
      </c>
      <c r="J76" s="16">
        <v>6.02</v>
      </c>
      <c r="K76" s="16">
        <v>2</v>
      </c>
      <c r="O76" s="3"/>
      <c r="P76" s="52">
        <f t="shared" si="2"/>
        <v>1.5897634869849773</v>
      </c>
      <c r="Q76" s="36">
        <f t="shared" si="3"/>
        <v>5.875165705847226</v>
      </c>
    </row>
    <row r="77" spans="1:18" ht="13" x14ac:dyDescent="0.15">
      <c r="A77" s="37">
        <v>45842</v>
      </c>
      <c r="B77" s="16">
        <v>17</v>
      </c>
      <c r="C77" s="16">
        <v>9</v>
      </c>
      <c r="E77" s="39" t="s">
        <v>130</v>
      </c>
      <c r="F77" s="16">
        <v>4000</v>
      </c>
      <c r="G77" s="16">
        <v>4000</v>
      </c>
      <c r="H77" s="3">
        <v>1</v>
      </c>
      <c r="I77" s="16" t="s">
        <v>129</v>
      </c>
      <c r="J77" s="16">
        <v>3.36</v>
      </c>
      <c r="K77" s="16">
        <v>2</v>
      </c>
      <c r="L77" s="3"/>
      <c r="M77" s="3"/>
      <c r="N77" s="18"/>
      <c r="O77" s="3"/>
      <c r="P77" s="52">
        <f t="shared" si="2"/>
        <v>0.74846123300403555</v>
      </c>
      <c r="Q77" s="36">
        <f t="shared" si="3"/>
        <v>3.1669885351056446</v>
      </c>
      <c r="R77" s="23"/>
    </row>
    <row r="78" spans="1:18" ht="13" x14ac:dyDescent="0.15">
      <c r="A78" s="37">
        <v>45842</v>
      </c>
      <c r="B78" s="16">
        <v>17</v>
      </c>
      <c r="C78" s="16">
        <v>9</v>
      </c>
      <c r="E78" s="39" t="s">
        <v>130</v>
      </c>
      <c r="F78" s="16">
        <v>4000</v>
      </c>
      <c r="G78" s="16">
        <v>4000</v>
      </c>
      <c r="H78" s="3">
        <v>2</v>
      </c>
      <c r="I78" s="16" t="s">
        <v>129</v>
      </c>
      <c r="J78" s="16">
        <v>3.58</v>
      </c>
      <c r="K78" s="16">
        <v>2</v>
      </c>
      <c r="L78" s="3"/>
      <c r="M78" s="3"/>
      <c r="O78" s="3"/>
      <c r="P78" s="52">
        <f t="shared" si="2"/>
        <v>0.83995958748953181</v>
      </c>
      <c r="Q78" s="36">
        <f t="shared" si="3"/>
        <v>3.0628568637458331</v>
      </c>
      <c r="R78" s="23"/>
    </row>
    <row r="79" spans="1:18" ht="13" x14ac:dyDescent="0.15">
      <c r="A79" s="37">
        <v>45842</v>
      </c>
      <c r="B79" s="16">
        <v>17</v>
      </c>
      <c r="C79" s="16">
        <v>9</v>
      </c>
      <c r="E79" s="39" t="s">
        <v>130</v>
      </c>
      <c r="F79" s="16">
        <v>4000</v>
      </c>
      <c r="G79" s="16">
        <v>4000</v>
      </c>
      <c r="H79" s="3">
        <v>3</v>
      </c>
      <c r="I79" s="16" t="s">
        <v>129</v>
      </c>
      <c r="J79" s="16">
        <v>3.6</v>
      </c>
      <c r="K79" s="16">
        <v>2</v>
      </c>
      <c r="L79" s="3"/>
      <c r="M79" s="3"/>
      <c r="O79" s="3"/>
      <c r="P79" s="52">
        <f t="shared" si="2"/>
        <v>0.84799690655495008</v>
      </c>
      <c r="Q79" s="36">
        <f t="shared" si="3"/>
        <v>3.1830298931417986</v>
      </c>
      <c r="R79" s="23"/>
    </row>
    <row r="80" spans="1:18" ht="13" x14ac:dyDescent="0.15">
      <c r="A80" s="37">
        <v>45842</v>
      </c>
      <c r="B80" s="16">
        <v>17</v>
      </c>
      <c r="C80" s="16">
        <v>9</v>
      </c>
      <c r="E80" s="40" t="s">
        <v>131</v>
      </c>
      <c r="F80" s="18">
        <v>8000</v>
      </c>
      <c r="G80" s="18">
        <v>6000</v>
      </c>
      <c r="H80" s="3">
        <v>1</v>
      </c>
      <c r="I80" s="16" t="s">
        <v>129</v>
      </c>
      <c r="J80" s="16">
        <v>2.63</v>
      </c>
      <c r="K80" s="16">
        <v>2</v>
      </c>
      <c r="O80" s="3"/>
      <c r="P80" s="52">
        <f t="shared" si="2"/>
        <v>0.38786729811337395</v>
      </c>
      <c r="Q80" s="36">
        <f t="shared" si="3"/>
        <v>2.0865969644367777</v>
      </c>
      <c r="R80" s="23"/>
    </row>
    <row r="81" spans="1:18" ht="13" x14ac:dyDescent="0.15">
      <c r="A81" s="37">
        <v>45842</v>
      </c>
      <c r="B81" s="16">
        <v>17</v>
      </c>
      <c r="C81" s="16">
        <v>9</v>
      </c>
      <c r="E81" s="40" t="s">
        <v>131</v>
      </c>
      <c r="F81" s="18">
        <v>8000</v>
      </c>
      <c r="G81" s="18">
        <v>6000</v>
      </c>
      <c r="H81" s="3">
        <v>2</v>
      </c>
      <c r="I81" s="16" t="s">
        <v>129</v>
      </c>
      <c r="J81" s="16">
        <v>2.89</v>
      </c>
      <c r="K81" s="16">
        <v>2</v>
      </c>
      <c r="O81" s="3"/>
      <c r="P81" s="52">
        <f t="shared" si="2"/>
        <v>0.4470052279374796</v>
      </c>
      <c r="Q81" s="36">
        <f t="shared" si="3"/>
        <v>1.6083124916584146</v>
      </c>
      <c r="R81" s="23"/>
    </row>
    <row r="82" spans="1:18" ht="13" x14ac:dyDescent="0.15">
      <c r="A82" s="37">
        <v>45842</v>
      </c>
      <c r="B82" s="16">
        <v>17</v>
      </c>
      <c r="C82" s="16">
        <v>9</v>
      </c>
      <c r="E82" s="40" t="s">
        <v>131</v>
      </c>
      <c r="F82" s="18">
        <v>8000</v>
      </c>
      <c r="G82" s="18">
        <v>6000</v>
      </c>
      <c r="H82" s="3">
        <v>3</v>
      </c>
      <c r="I82" s="16" t="s">
        <v>129</v>
      </c>
      <c r="J82" s="16">
        <v>3.29</v>
      </c>
      <c r="K82" s="16">
        <v>2</v>
      </c>
      <c r="O82" s="3"/>
      <c r="P82" s="52">
        <f t="shared" si="2"/>
        <v>0.607056271571773</v>
      </c>
      <c r="Q82" s="36">
        <f t="shared" si="3"/>
        <v>1.7642293656052375</v>
      </c>
      <c r="R82" s="23"/>
    </row>
    <row r="83" spans="1:18" ht="13" x14ac:dyDescent="0.15">
      <c r="A83" s="37">
        <v>45842</v>
      </c>
      <c r="B83" s="16">
        <v>17</v>
      </c>
      <c r="C83" s="16">
        <v>9</v>
      </c>
      <c r="E83" s="41" t="s">
        <v>132</v>
      </c>
      <c r="F83" s="16">
        <v>10000</v>
      </c>
      <c r="G83" s="16">
        <v>10000</v>
      </c>
      <c r="H83" s="3">
        <v>1</v>
      </c>
      <c r="I83" s="16" t="s">
        <v>129</v>
      </c>
      <c r="J83" s="16">
        <v>4.6399999999999997</v>
      </c>
      <c r="K83" s="16">
        <v>2</v>
      </c>
      <c r="O83" s="3"/>
      <c r="P83" s="52">
        <f t="shared" si="2"/>
        <v>1.2141248053528473</v>
      </c>
      <c r="Q83" s="36">
        <f t="shared" si="3"/>
        <v>3.905234585788655</v>
      </c>
      <c r="R83" s="23"/>
    </row>
    <row r="84" spans="1:18" ht="13" x14ac:dyDescent="0.15">
      <c r="A84" s="37">
        <v>45842</v>
      </c>
      <c r="B84" s="16">
        <v>17</v>
      </c>
      <c r="C84" s="16">
        <v>9</v>
      </c>
      <c r="E84" s="41" t="s">
        <v>132</v>
      </c>
      <c r="F84" s="16">
        <v>10000</v>
      </c>
      <c r="G84" s="16">
        <v>10000</v>
      </c>
      <c r="H84" s="3">
        <v>2</v>
      </c>
      <c r="I84" s="16" t="s">
        <v>129</v>
      </c>
      <c r="J84" s="16">
        <v>4.5199999999999996</v>
      </c>
      <c r="K84" s="16">
        <v>2</v>
      </c>
      <c r="O84" s="3"/>
      <c r="P84" s="52">
        <f t="shared" si="2"/>
        <v>1.1763227726404628</v>
      </c>
      <c r="Q84" s="36">
        <f t="shared" si="3"/>
        <v>3.9435538096643388</v>
      </c>
      <c r="R84" s="23"/>
    </row>
    <row r="85" spans="1:18" ht="13" x14ac:dyDescent="0.15">
      <c r="A85" s="37">
        <v>45842</v>
      </c>
      <c r="B85" s="16">
        <v>17</v>
      </c>
      <c r="C85" s="16">
        <v>9</v>
      </c>
      <c r="E85" s="41" t="s">
        <v>132</v>
      </c>
      <c r="F85" s="16">
        <v>10000</v>
      </c>
      <c r="G85" s="16">
        <v>10000</v>
      </c>
      <c r="H85" s="3">
        <v>3</v>
      </c>
      <c r="I85" s="16" t="s">
        <v>129</v>
      </c>
      <c r="J85" s="16">
        <v>3.75</v>
      </c>
      <c r="K85" s="16">
        <v>2</v>
      </c>
      <c r="O85" s="3"/>
      <c r="P85" s="52">
        <f t="shared" si="2"/>
        <v>0.90689059560851848</v>
      </c>
      <c r="Q85" s="36">
        <f t="shared" si="3"/>
        <v>3.6343645622460494</v>
      </c>
      <c r="R85" s="23"/>
    </row>
    <row r="86" spans="1:18" ht="13" x14ac:dyDescent="0.15">
      <c r="A86" s="37">
        <v>45842</v>
      </c>
      <c r="B86" s="16">
        <v>17</v>
      </c>
      <c r="C86" s="16">
        <v>9</v>
      </c>
      <c r="E86" s="42" t="s">
        <v>133</v>
      </c>
      <c r="F86" s="18">
        <v>2000</v>
      </c>
      <c r="G86" s="18">
        <v>1200</v>
      </c>
      <c r="H86" s="3">
        <v>1</v>
      </c>
      <c r="I86" s="16" t="s">
        <v>129</v>
      </c>
      <c r="J86" s="16">
        <v>3.11</v>
      </c>
      <c r="K86" s="16">
        <v>2</v>
      </c>
      <c r="O86" s="3"/>
      <c r="P86" s="52">
        <f t="shared" si="2"/>
        <v>0.44156698203365852</v>
      </c>
      <c r="Q86" s="36">
        <f t="shared" si="3"/>
        <v>1.3239752686957702</v>
      </c>
      <c r="R86" s="16"/>
    </row>
    <row r="87" spans="1:18" ht="13" x14ac:dyDescent="0.15">
      <c r="A87" s="37">
        <v>45842</v>
      </c>
      <c r="B87" s="16">
        <v>17</v>
      </c>
      <c r="C87" s="16">
        <v>9</v>
      </c>
      <c r="E87" s="42" t="s">
        <v>133</v>
      </c>
      <c r="F87" s="18">
        <v>2000</v>
      </c>
      <c r="G87" s="18">
        <v>1200</v>
      </c>
      <c r="H87" s="3">
        <v>2</v>
      </c>
      <c r="I87" s="16" t="s">
        <v>129</v>
      </c>
      <c r="J87" s="16">
        <v>2.36</v>
      </c>
      <c r="K87" s="16">
        <v>2</v>
      </c>
      <c r="O87" s="3"/>
      <c r="P87" s="52">
        <f t="shared" si="2"/>
        <v>0.29018601209376071</v>
      </c>
      <c r="Q87" s="36">
        <f t="shared" si="3"/>
        <v>1.3498181719758604</v>
      </c>
      <c r="R87" s="16"/>
    </row>
    <row r="88" spans="1:18" ht="13" x14ac:dyDescent="0.15">
      <c r="A88" s="37">
        <v>45842</v>
      </c>
      <c r="B88" s="16">
        <v>17</v>
      </c>
      <c r="C88" s="16">
        <v>9</v>
      </c>
      <c r="E88" s="42" t="s">
        <v>133</v>
      </c>
      <c r="F88" s="18">
        <v>2000</v>
      </c>
      <c r="G88" s="18">
        <v>1200</v>
      </c>
      <c r="H88" s="3">
        <v>3</v>
      </c>
      <c r="I88" s="16" t="s">
        <v>129</v>
      </c>
      <c r="J88" s="16">
        <v>3.15</v>
      </c>
      <c r="K88" s="16">
        <v>2</v>
      </c>
      <c r="O88" s="3"/>
      <c r="P88" s="52">
        <f t="shared" si="2"/>
        <v>0.88981708224957712</v>
      </c>
      <c r="Q88" s="36">
        <f t="shared" si="3"/>
        <v>2.3756302938458815</v>
      </c>
      <c r="R88" s="16"/>
    </row>
    <row r="89" spans="1:18" ht="13" x14ac:dyDescent="0.15">
      <c r="A89" s="37">
        <v>45842</v>
      </c>
      <c r="B89" s="16">
        <v>17</v>
      </c>
      <c r="C89" s="16">
        <v>9</v>
      </c>
      <c r="E89" s="43" t="s">
        <v>135</v>
      </c>
      <c r="F89" s="18">
        <v>5000</v>
      </c>
      <c r="G89" s="18">
        <v>2500</v>
      </c>
      <c r="H89" s="3">
        <v>1</v>
      </c>
      <c r="I89" s="16" t="s">
        <v>129</v>
      </c>
      <c r="J89" s="16">
        <v>2.9</v>
      </c>
      <c r="K89" s="16">
        <v>2</v>
      </c>
      <c r="L89" s="3"/>
      <c r="M89" s="3"/>
      <c r="N89" s="18"/>
      <c r="O89" s="3"/>
      <c r="P89" s="52">
        <f t="shared" si="2"/>
        <v>0.6024802619791858</v>
      </c>
      <c r="Q89" s="36">
        <f t="shared" si="3"/>
        <v>1.5432484016444135</v>
      </c>
      <c r="R89" s="23"/>
    </row>
    <row r="90" spans="1:18" ht="13" x14ac:dyDescent="0.15">
      <c r="A90" s="37">
        <v>45842</v>
      </c>
      <c r="B90" s="16">
        <v>17</v>
      </c>
      <c r="C90" s="16">
        <v>9</v>
      </c>
      <c r="E90" s="43" t="s">
        <v>135</v>
      </c>
      <c r="F90" s="18">
        <v>5000</v>
      </c>
      <c r="G90" s="18">
        <v>2500</v>
      </c>
      <c r="H90" s="3">
        <v>2</v>
      </c>
      <c r="I90" s="16" t="s">
        <v>129</v>
      </c>
      <c r="J90" s="16">
        <v>4.08</v>
      </c>
      <c r="K90" s="16">
        <v>2</v>
      </c>
      <c r="L90" s="3"/>
      <c r="M90" s="3"/>
      <c r="O90" s="3"/>
      <c r="P90" s="52">
        <f t="shared" si="2"/>
        <v>0.94450488740829652</v>
      </c>
      <c r="Q90" s="36">
        <f t="shared" si="3"/>
        <v>2.1528972871989729</v>
      </c>
      <c r="R90" s="23"/>
    </row>
    <row r="91" spans="1:18" ht="13" x14ac:dyDescent="0.15">
      <c r="A91" s="37">
        <v>45842</v>
      </c>
      <c r="B91" s="16">
        <v>17</v>
      </c>
      <c r="C91" s="16">
        <v>9</v>
      </c>
      <c r="E91" s="43" t="s">
        <v>135</v>
      </c>
      <c r="F91" s="18">
        <v>5000</v>
      </c>
      <c r="G91" s="18">
        <v>2500</v>
      </c>
      <c r="H91" s="3">
        <v>3</v>
      </c>
      <c r="I91" s="16" t="s">
        <v>129</v>
      </c>
      <c r="J91" s="16">
        <v>3.64</v>
      </c>
      <c r="K91" s="16">
        <v>2</v>
      </c>
      <c r="L91" s="3"/>
      <c r="M91" s="3"/>
      <c r="O91" s="3"/>
      <c r="P91" s="52">
        <f t="shared" si="2"/>
        <v>0.59490530396873464</v>
      </c>
      <c r="Q91" s="36">
        <f t="shared" si="3"/>
        <v>1.9948693202504202</v>
      </c>
      <c r="R91" s="23"/>
    </row>
    <row r="92" spans="1:18" ht="13" x14ac:dyDescent="0.15">
      <c r="A92" s="37">
        <v>45842</v>
      </c>
      <c r="B92" s="16">
        <v>17</v>
      </c>
      <c r="C92" s="16">
        <v>9</v>
      </c>
      <c r="E92" s="44" t="s">
        <v>136</v>
      </c>
      <c r="F92" s="18">
        <v>5000</v>
      </c>
      <c r="G92" s="18">
        <v>2500</v>
      </c>
      <c r="H92" s="3">
        <v>1</v>
      </c>
      <c r="I92" s="16" t="s">
        <v>129</v>
      </c>
      <c r="J92" s="16">
        <v>5.28</v>
      </c>
      <c r="K92" s="16">
        <v>2</v>
      </c>
      <c r="O92" s="3"/>
      <c r="P92" s="52">
        <f t="shared" si="2"/>
        <v>0.83007499855768763</v>
      </c>
      <c r="Q92" s="36">
        <f t="shared" si="3"/>
        <v>1.4005379295837288</v>
      </c>
      <c r="R92" s="23"/>
    </row>
    <row r="93" spans="1:18" ht="13" x14ac:dyDescent="0.15">
      <c r="A93" s="37">
        <v>45842</v>
      </c>
      <c r="B93" s="16">
        <v>17</v>
      </c>
      <c r="C93" s="16">
        <v>9</v>
      </c>
      <c r="E93" s="44" t="s">
        <v>136</v>
      </c>
      <c r="F93" s="18">
        <v>5000</v>
      </c>
      <c r="G93" s="18">
        <v>2500</v>
      </c>
      <c r="H93" s="3">
        <v>2</v>
      </c>
      <c r="I93" s="16" t="s">
        <v>129</v>
      </c>
      <c r="J93" s="16">
        <v>4.8099999999999996</v>
      </c>
      <c r="K93" s="16">
        <v>2</v>
      </c>
      <c r="O93" s="3"/>
      <c r="P93" s="52">
        <f t="shared" si="2"/>
        <v>1.386331127713029</v>
      </c>
      <c r="Q93" s="36">
        <f t="shared" si="3"/>
        <v>1.2660368939953173</v>
      </c>
      <c r="R93" s="23"/>
    </row>
    <row r="94" spans="1:18" ht="13" x14ac:dyDescent="0.15">
      <c r="A94" s="37">
        <v>45842</v>
      </c>
      <c r="B94" s="16">
        <v>17</v>
      </c>
      <c r="C94" s="16">
        <v>9</v>
      </c>
      <c r="E94" s="44" t="s">
        <v>136</v>
      </c>
      <c r="F94" s="18">
        <v>5000</v>
      </c>
      <c r="G94" s="18">
        <v>2500</v>
      </c>
      <c r="H94" s="3">
        <v>3</v>
      </c>
      <c r="I94" s="16" t="s">
        <v>129</v>
      </c>
      <c r="J94" s="16">
        <v>4.8899999999999997</v>
      </c>
      <c r="K94" s="16">
        <v>2</v>
      </c>
      <c r="O94" s="3"/>
      <c r="P94" s="53">
        <f t="shared" si="2"/>
        <v>1.3638350466212859</v>
      </c>
      <c r="Q94" s="36">
        <f t="shared" si="3"/>
        <v>1.2898344651775091</v>
      </c>
      <c r="R94" s="23"/>
    </row>
    <row r="95" spans="1:18" ht="13" x14ac:dyDescent="0.15">
      <c r="A95" s="32">
        <v>45845</v>
      </c>
      <c r="B95" s="33">
        <v>20</v>
      </c>
      <c r="C95" s="33">
        <v>12</v>
      </c>
      <c r="D95" s="33"/>
      <c r="E95" s="33" t="s">
        <v>32</v>
      </c>
      <c r="F95" s="34">
        <v>2.2499999999999999E-4</v>
      </c>
      <c r="G95" s="34">
        <v>2.2499999999999999E-4</v>
      </c>
      <c r="H95" s="35">
        <v>1</v>
      </c>
      <c r="I95" s="33" t="s">
        <v>129</v>
      </c>
      <c r="J95" s="33">
        <v>8.27</v>
      </c>
      <c r="K95" s="33">
        <v>2</v>
      </c>
      <c r="L95" s="33"/>
      <c r="M95" s="33"/>
      <c r="N95" s="33"/>
      <c r="O95" s="35"/>
      <c r="P95" s="16">
        <f t="shared" si="2"/>
        <v>2.0478873293965498</v>
      </c>
      <c r="Q95" s="36">
        <f t="shared" si="3"/>
        <v>8.587976611379073</v>
      </c>
      <c r="R95" s="33"/>
    </row>
    <row r="96" spans="1:18" ht="13" x14ac:dyDescent="0.15">
      <c r="A96" s="37">
        <v>45845</v>
      </c>
      <c r="B96" s="16">
        <v>20</v>
      </c>
      <c r="C96" s="16">
        <v>12</v>
      </c>
      <c r="E96" s="16" t="s">
        <v>32</v>
      </c>
      <c r="F96" s="22">
        <v>2.2499999999999999E-4</v>
      </c>
      <c r="G96" s="22">
        <v>2.2499999999999999E-4</v>
      </c>
      <c r="H96" s="3">
        <v>2</v>
      </c>
      <c r="I96" s="16" t="s">
        <v>129</v>
      </c>
      <c r="J96" s="16">
        <v>10.3</v>
      </c>
      <c r="K96" s="16">
        <v>2</v>
      </c>
      <c r="O96" s="3"/>
      <c r="P96" s="16">
        <f t="shared" si="2"/>
        <v>2.3645724322958563</v>
      </c>
      <c r="Q96" s="36">
        <f t="shared" si="3"/>
        <v>8.5936434761723586</v>
      </c>
    </row>
    <row r="97" spans="1:18" ht="13" x14ac:dyDescent="0.15">
      <c r="A97" s="37">
        <v>45845</v>
      </c>
      <c r="B97" s="16">
        <v>20</v>
      </c>
      <c r="C97" s="16">
        <v>12</v>
      </c>
      <c r="E97" s="16" t="s">
        <v>32</v>
      </c>
      <c r="F97" s="22">
        <v>2.2499999999999999E-4</v>
      </c>
      <c r="G97" s="22">
        <v>2.2499999999999999E-4</v>
      </c>
      <c r="H97" s="3">
        <v>3</v>
      </c>
      <c r="I97" s="16" t="s">
        <v>129</v>
      </c>
      <c r="J97" s="16">
        <v>12.3</v>
      </c>
      <c r="K97" s="16">
        <v>2</v>
      </c>
      <c r="O97" s="3"/>
      <c r="P97" s="16">
        <f t="shared" si="2"/>
        <v>2.6205864104518777</v>
      </c>
      <c r="Q97" s="36">
        <f t="shared" si="3"/>
        <v>8.4957521162991032</v>
      </c>
    </row>
    <row r="98" spans="1:18" ht="13" x14ac:dyDescent="0.15">
      <c r="A98" s="37">
        <v>45845</v>
      </c>
      <c r="B98" s="16">
        <v>20</v>
      </c>
      <c r="C98" s="16">
        <v>12</v>
      </c>
      <c r="E98" s="39" t="s">
        <v>130</v>
      </c>
      <c r="F98" s="18">
        <v>4000</v>
      </c>
      <c r="G98" s="18">
        <v>2000</v>
      </c>
      <c r="H98" s="3">
        <v>1</v>
      </c>
      <c r="I98" s="16" t="s">
        <v>129</v>
      </c>
      <c r="J98" s="16">
        <v>3.97</v>
      </c>
      <c r="K98" s="3">
        <v>2</v>
      </c>
      <c r="O98" s="3"/>
      <c r="P98" s="16">
        <f t="shared" si="2"/>
        <v>0.98913900736823313</v>
      </c>
      <c r="Q98" s="36">
        <f t="shared" si="3"/>
        <v>4.1561275424738779</v>
      </c>
      <c r="R98" s="23"/>
    </row>
    <row r="99" spans="1:18" ht="13" x14ac:dyDescent="0.15">
      <c r="A99" s="37">
        <v>45845</v>
      </c>
      <c r="B99" s="16">
        <v>20</v>
      </c>
      <c r="C99" s="16">
        <v>12</v>
      </c>
      <c r="E99" s="39" t="s">
        <v>130</v>
      </c>
      <c r="F99" s="18">
        <v>4000</v>
      </c>
      <c r="G99" s="18">
        <v>2000</v>
      </c>
      <c r="H99" s="3">
        <v>2</v>
      </c>
      <c r="I99" s="16" t="s">
        <v>129</v>
      </c>
      <c r="J99" s="16">
        <v>2.83</v>
      </c>
      <c r="K99" s="3">
        <v>2.83</v>
      </c>
      <c r="O99" s="3"/>
      <c r="P99" s="16">
        <f t="shared" si="2"/>
        <v>0.50080205305715764</v>
      </c>
      <c r="Q99" s="36">
        <f t="shared" si="3"/>
        <v>3.5636589168029906</v>
      </c>
      <c r="R99" s="23"/>
    </row>
    <row r="100" spans="1:18" ht="13" x14ac:dyDescent="0.15">
      <c r="A100" s="37">
        <v>45845</v>
      </c>
      <c r="B100" s="16">
        <v>20</v>
      </c>
      <c r="C100" s="16">
        <v>12</v>
      </c>
      <c r="E100" s="39" t="s">
        <v>130</v>
      </c>
      <c r="F100" s="18">
        <v>4000</v>
      </c>
      <c r="G100" s="18">
        <v>2000</v>
      </c>
      <c r="H100" s="3">
        <v>3</v>
      </c>
      <c r="I100" s="16" t="s">
        <v>129</v>
      </c>
      <c r="J100" s="16">
        <v>3.35</v>
      </c>
      <c r="K100" s="3">
        <v>2</v>
      </c>
      <c r="O100" s="3"/>
      <c r="P100" s="16">
        <f t="shared" si="2"/>
        <v>0.74416109557041021</v>
      </c>
      <c r="Q100" s="36">
        <f t="shared" si="3"/>
        <v>3.927190988712209</v>
      </c>
      <c r="R100" s="23"/>
    </row>
    <row r="101" spans="1:18" ht="13" x14ac:dyDescent="0.15">
      <c r="A101" s="37">
        <v>45845</v>
      </c>
      <c r="B101" s="16">
        <v>20</v>
      </c>
      <c r="C101" s="16">
        <v>12</v>
      </c>
      <c r="E101" s="40" t="s">
        <v>131</v>
      </c>
      <c r="F101" s="18">
        <v>6000</v>
      </c>
      <c r="G101" s="18">
        <v>0</v>
      </c>
      <c r="H101" s="3">
        <v>1</v>
      </c>
      <c r="I101" s="16" t="s">
        <v>129</v>
      </c>
      <c r="J101" s="16">
        <v>2.72</v>
      </c>
      <c r="K101" s="3">
        <v>2.72</v>
      </c>
      <c r="O101" s="3"/>
      <c r="P101" s="16">
        <f t="shared" si="2"/>
        <v>0.44360665147561484</v>
      </c>
      <c r="Q101" s="36">
        <f t="shared" si="3"/>
        <v>2.5302036159123924</v>
      </c>
      <c r="R101" s="23"/>
    </row>
    <row r="102" spans="1:18" ht="13" x14ac:dyDescent="0.15">
      <c r="A102" s="37">
        <v>45845</v>
      </c>
      <c r="B102" s="16">
        <v>20</v>
      </c>
      <c r="C102" s="16">
        <v>12</v>
      </c>
      <c r="E102" s="40" t="s">
        <v>131</v>
      </c>
      <c r="F102" s="18">
        <v>6000</v>
      </c>
      <c r="G102" s="18">
        <v>0</v>
      </c>
      <c r="H102" s="3">
        <v>2</v>
      </c>
      <c r="I102" s="16" t="s">
        <v>129</v>
      </c>
      <c r="J102" s="16">
        <v>3.06</v>
      </c>
      <c r="K102" s="3">
        <v>3.06</v>
      </c>
      <c r="O102" s="3"/>
      <c r="P102" s="16">
        <f t="shared" si="2"/>
        <v>0.61353165291792711</v>
      </c>
      <c r="Q102" s="36">
        <f t="shared" si="3"/>
        <v>2.2218441445763419</v>
      </c>
      <c r="R102" s="23"/>
    </row>
    <row r="103" spans="1:18" ht="13" x14ac:dyDescent="0.15">
      <c r="A103" s="37">
        <v>45845</v>
      </c>
      <c r="B103" s="16">
        <v>20</v>
      </c>
      <c r="C103" s="16">
        <v>12</v>
      </c>
      <c r="E103" s="40" t="s">
        <v>131</v>
      </c>
      <c r="F103" s="18">
        <v>6000</v>
      </c>
      <c r="G103" s="18">
        <v>0</v>
      </c>
      <c r="H103" s="3">
        <v>3</v>
      </c>
      <c r="I103" s="16" t="s">
        <v>129</v>
      </c>
      <c r="J103" s="16">
        <v>2.5</v>
      </c>
      <c r="K103" s="3">
        <v>2.5</v>
      </c>
      <c r="O103" s="3"/>
      <c r="P103" s="16">
        <f t="shared" si="2"/>
        <v>0.32192809488736235</v>
      </c>
      <c r="Q103" s="36">
        <f t="shared" si="3"/>
        <v>2.0861574604925996</v>
      </c>
      <c r="R103" s="23"/>
    </row>
    <row r="104" spans="1:18" ht="13" x14ac:dyDescent="0.15">
      <c r="A104" s="37">
        <v>45845</v>
      </c>
      <c r="B104" s="16">
        <v>20</v>
      </c>
      <c r="C104" s="16">
        <v>12</v>
      </c>
      <c r="E104" s="41" t="s">
        <v>132</v>
      </c>
      <c r="F104" s="16">
        <v>10000</v>
      </c>
      <c r="G104" s="16">
        <v>10000</v>
      </c>
      <c r="H104" s="3">
        <v>1</v>
      </c>
      <c r="I104" s="16" t="s">
        <v>129</v>
      </c>
      <c r="J104" s="16">
        <v>4.51</v>
      </c>
      <c r="K104" s="3">
        <v>2</v>
      </c>
      <c r="O104" s="3"/>
      <c r="P104" s="16">
        <f t="shared" si="2"/>
        <v>1.1731274334806563</v>
      </c>
      <c r="Q104" s="36">
        <f t="shared" si="3"/>
        <v>5.0783620192693117</v>
      </c>
      <c r="R104" s="23"/>
    </row>
    <row r="105" spans="1:18" ht="13" x14ac:dyDescent="0.15">
      <c r="A105" s="37">
        <v>45845</v>
      </c>
      <c r="B105" s="16">
        <v>20</v>
      </c>
      <c r="C105" s="16">
        <v>12</v>
      </c>
      <c r="E105" s="41" t="s">
        <v>132</v>
      </c>
      <c r="F105" s="16">
        <v>10000</v>
      </c>
      <c r="G105" s="16">
        <v>10000</v>
      </c>
      <c r="H105" s="3">
        <v>2</v>
      </c>
      <c r="I105" s="16" t="s">
        <v>129</v>
      </c>
      <c r="J105" s="16">
        <v>3.92</v>
      </c>
      <c r="K105" s="3">
        <v>2</v>
      </c>
      <c r="O105" s="3"/>
      <c r="P105" s="16">
        <f t="shared" si="2"/>
        <v>0.97085365434048343</v>
      </c>
      <c r="Q105" s="36">
        <f t="shared" si="3"/>
        <v>4.9144074640048219</v>
      </c>
      <c r="R105" s="23"/>
    </row>
    <row r="106" spans="1:18" ht="13" x14ac:dyDescent="0.15">
      <c r="A106" s="37">
        <v>45845</v>
      </c>
      <c r="B106" s="16">
        <v>20</v>
      </c>
      <c r="C106" s="16">
        <v>12</v>
      </c>
      <c r="E106" s="41" t="s">
        <v>132</v>
      </c>
      <c r="F106" s="16">
        <v>10000</v>
      </c>
      <c r="G106" s="16">
        <v>10000</v>
      </c>
      <c r="H106" s="3">
        <v>3</v>
      </c>
      <c r="I106" s="16" t="s">
        <v>129</v>
      </c>
      <c r="J106" s="16">
        <v>4.92</v>
      </c>
      <c r="K106" s="3">
        <v>2</v>
      </c>
      <c r="O106" s="3"/>
      <c r="P106" s="16">
        <f t="shared" si="2"/>
        <v>1.2986583155645153</v>
      </c>
      <c r="Q106" s="36">
        <f t="shared" si="3"/>
        <v>4.9330228778105649</v>
      </c>
      <c r="R106" s="23"/>
    </row>
    <row r="107" spans="1:18" ht="13" x14ac:dyDescent="0.15">
      <c r="A107" s="37">
        <v>45845</v>
      </c>
      <c r="B107" s="16">
        <v>20</v>
      </c>
      <c r="C107" s="16">
        <v>12</v>
      </c>
      <c r="E107" s="42" t="s">
        <v>133</v>
      </c>
      <c r="F107" s="18">
        <v>1200</v>
      </c>
      <c r="G107" s="18">
        <v>1500</v>
      </c>
      <c r="H107" s="3">
        <v>1</v>
      </c>
      <c r="I107" s="16" t="s">
        <v>129</v>
      </c>
      <c r="J107" s="16">
        <v>5.99</v>
      </c>
      <c r="K107" s="3">
        <v>2</v>
      </c>
      <c r="L107" s="20"/>
      <c r="O107" s="3"/>
      <c r="P107" s="16">
        <f t="shared" si="2"/>
        <v>1.5825560030140611</v>
      </c>
      <c r="Q107" s="36">
        <f t="shared" si="3"/>
        <v>2.9065312717098313</v>
      </c>
      <c r="R107" s="16"/>
    </row>
    <row r="108" spans="1:18" ht="13" x14ac:dyDescent="0.15">
      <c r="A108" s="37">
        <v>45845</v>
      </c>
      <c r="B108" s="16">
        <v>20</v>
      </c>
      <c r="C108" s="16">
        <v>12</v>
      </c>
      <c r="E108" s="42" t="s">
        <v>133</v>
      </c>
      <c r="F108" s="18">
        <v>1200</v>
      </c>
      <c r="G108" s="18">
        <v>1500</v>
      </c>
      <c r="H108" s="3">
        <v>2</v>
      </c>
      <c r="I108" s="16" t="s">
        <v>129</v>
      </c>
      <c r="J108" s="16">
        <v>7.17</v>
      </c>
      <c r="K108" s="3">
        <v>2</v>
      </c>
      <c r="L108" s="20"/>
      <c r="O108" s="3"/>
      <c r="P108" s="16">
        <f t="shared" si="2"/>
        <v>1.84197311892718</v>
      </c>
      <c r="Q108" s="36">
        <f t="shared" si="3"/>
        <v>3.1917912909030406</v>
      </c>
      <c r="R108" s="16"/>
    </row>
    <row r="109" spans="1:18" ht="13" x14ac:dyDescent="0.15">
      <c r="A109" s="37">
        <v>45845</v>
      </c>
      <c r="B109" s="16">
        <v>20</v>
      </c>
      <c r="C109" s="16">
        <v>12</v>
      </c>
      <c r="E109" s="42" t="s">
        <v>133</v>
      </c>
      <c r="F109" s="18">
        <v>1200</v>
      </c>
      <c r="G109" s="18">
        <v>1500</v>
      </c>
      <c r="H109" s="3">
        <v>3</v>
      </c>
      <c r="I109" s="16" t="s">
        <v>129</v>
      </c>
      <c r="J109" s="16">
        <v>6.54</v>
      </c>
      <c r="K109" s="3">
        <v>2</v>
      </c>
      <c r="L109" s="20"/>
      <c r="O109" s="3"/>
      <c r="P109" s="16">
        <f t="shared" si="2"/>
        <v>1.7092906357233579</v>
      </c>
      <c r="Q109" s="36">
        <f t="shared" si="3"/>
        <v>4.0849209295692397</v>
      </c>
      <c r="R109" s="16"/>
    </row>
    <row r="110" spans="1:18" ht="13" x14ac:dyDescent="0.15">
      <c r="A110" s="37">
        <v>45845</v>
      </c>
      <c r="B110" s="16">
        <v>20</v>
      </c>
      <c r="C110" s="16">
        <v>12</v>
      </c>
      <c r="E110" s="43" t="s">
        <v>135</v>
      </c>
      <c r="F110" s="18">
        <v>2500</v>
      </c>
      <c r="G110" s="18">
        <v>2500</v>
      </c>
      <c r="H110" s="3">
        <v>1</v>
      </c>
      <c r="I110" s="16" t="s">
        <v>129</v>
      </c>
      <c r="J110" s="16">
        <v>5.0599999999999996</v>
      </c>
      <c r="K110" s="16">
        <v>2</v>
      </c>
      <c r="P110" s="16">
        <f t="shared" si="2"/>
        <v>1.3391373849195853</v>
      </c>
      <c r="Q110" s="36">
        <f t="shared" si="3"/>
        <v>2.882385786563999</v>
      </c>
      <c r="R110" s="23"/>
    </row>
    <row r="111" spans="1:18" ht="13" x14ac:dyDescent="0.15">
      <c r="A111" s="37">
        <v>45845</v>
      </c>
      <c r="B111" s="16">
        <v>20</v>
      </c>
      <c r="C111" s="16">
        <v>12</v>
      </c>
      <c r="E111" s="43" t="s">
        <v>135</v>
      </c>
      <c r="F111" s="18">
        <v>2500</v>
      </c>
      <c r="G111" s="18">
        <v>2500</v>
      </c>
      <c r="H111" s="3">
        <v>2</v>
      </c>
      <c r="I111" s="16" t="s">
        <v>129</v>
      </c>
      <c r="J111" s="16">
        <v>3.77</v>
      </c>
      <c r="K111" s="16">
        <v>2</v>
      </c>
      <c r="P111" s="16">
        <f t="shared" si="2"/>
        <v>0.91456452349393969</v>
      </c>
      <c r="Q111" s="36">
        <f t="shared" si="3"/>
        <v>3.0674618106929126</v>
      </c>
      <c r="R111" s="23"/>
    </row>
    <row r="112" spans="1:18" ht="13" x14ac:dyDescent="0.15">
      <c r="A112" s="37">
        <v>45845</v>
      </c>
      <c r="B112" s="16">
        <v>20</v>
      </c>
      <c r="C112" s="16">
        <v>12</v>
      </c>
      <c r="E112" s="43" t="s">
        <v>135</v>
      </c>
      <c r="F112" s="18">
        <v>2500</v>
      </c>
      <c r="G112" s="18">
        <v>2500</v>
      </c>
      <c r="H112" s="3">
        <v>3</v>
      </c>
      <c r="I112" s="16" t="s">
        <v>129</v>
      </c>
      <c r="J112" s="16">
        <v>3.69</v>
      </c>
      <c r="K112" s="16">
        <v>2</v>
      </c>
      <c r="P112" s="16">
        <f t="shared" si="2"/>
        <v>0.88362081628567146</v>
      </c>
      <c r="Q112" s="36">
        <f t="shared" si="3"/>
        <v>2.8784901365360915</v>
      </c>
      <c r="R112" s="23"/>
    </row>
    <row r="113" spans="1:18" ht="13" x14ac:dyDescent="0.15">
      <c r="A113" s="37">
        <v>45845</v>
      </c>
      <c r="B113" s="16">
        <v>20</v>
      </c>
      <c r="C113" s="16">
        <v>12</v>
      </c>
      <c r="E113" s="44" t="s">
        <v>136</v>
      </c>
      <c r="F113" s="18">
        <v>2500</v>
      </c>
      <c r="G113" s="18">
        <v>0</v>
      </c>
      <c r="H113" s="3">
        <v>1</v>
      </c>
      <c r="I113" s="16" t="s">
        <v>129</v>
      </c>
      <c r="J113" s="16">
        <v>2.2999999999999998</v>
      </c>
      <c r="K113" s="16">
        <v>2.2999999999999998</v>
      </c>
      <c r="P113" s="16">
        <f t="shared" si="2"/>
        <v>0.20163386116965043</v>
      </c>
      <c r="Q113" s="36">
        <f t="shared" si="3"/>
        <v>1.6021717907533792</v>
      </c>
      <c r="R113" s="23"/>
    </row>
    <row r="114" spans="1:18" ht="13" x14ac:dyDescent="0.15">
      <c r="A114" s="37">
        <v>45845</v>
      </c>
      <c r="B114" s="16">
        <v>20</v>
      </c>
      <c r="C114" s="16">
        <v>12</v>
      </c>
      <c r="E114" s="44" t="s">
        <v>136</v>
      </c>
      <c r="F114" s="18">
        <v>2500</v>
      </c>
      <c r="G114" s="18">
        <v>0</v>
      </c>
      <c r="H114" s="3">
        <v>2</v>
      </c>
      <c r="I114" s="16" t="s">
        <v>129</v>
      </c>
      <c r="J114" s="16">
        <v>2.4</v>
      </c>
      <c r="K114" s="16">
        <v>2.4</v>
      </c>
      <c r="P114" s="16">
        <f t="shared" si="2"/>
        <v>0.26303440583379378</v>
      </c>
      <c r="Q114" s="36">
        <f t="shared" si="3"/>
        <v>1.5290712998291109</v>
      </c>
      <c r="R114" s="23"/>
    </row>
    <row r="115" spans="1:18" ht="13" x14ac:dyDescent="0.15">
      <c r="A115" s="37">
        <v>45845</v>
      </c>
      <c r="B115" s="16">
        <v>20</v>
      </c>
      <c r="C115" s="16">
        <v>12</v>
      </c>
      <c r="E115" s="44" t="s">
        <v>136</v>
      </c>
      <c r="F115" s="18">
        <v>2500</v>
      </c>
      <c r="G115" s="18">
        <v>0</v>
      </c>
      <c r="H115" s="3">
        <v>3</v>
      </c>
      <c r="I115" s="16" t="s">
        <v>129</v>
      </c>
      <c r="J115" s="16">
        <v>2.34</v>
      </c>
      <c r="K115" s="16">
        <v>2.34</v>
      </c>
      <c r="P115" s="16">
        <f t="shared" si="2"/>
        <v>0.22650852980867975</v>
      </c>
      <c r="Q115" s="36">
        <f t="shared" si="3"/>
        <v>1.5163429949861889</v>
      </c>
      <c r="R115" s="23"/>
    </row>
    <row r="116" spans="1:18" ht="13" x14ac:dyDescent="0.15">
      <c r="A116" s="32">
        <v>45848</v>
      </c>
      <c r="B116" s="33">
        <v>23</v>
      </c>
      <c r="C116" s="33">
        <v>15</v>
      </c>
      <c r="D116" s="33"/>
      <c r="E116" s="33" t="s">
        <v>32</v>
      </c>
      <c r="F116" s="34">
        <v>2.2499999999999999E-4</v>
      </c>
      <c r="G116" s="34">
        <v>2.2499999999999999E-4</v>
      </c>
      <c r="H116" s="35">
        <v>1</v>
      </c>
      <c r="I116" s="33" t="s">
        <v>129</v>
      </c>
      <c r="J116" s="33">
        <v>10.4</v>
      </c>
      <c r="K116" s="33">
        <v>2</v>
      </c>
      <c r="L116" s="33"/>
      <c r="M116" s="33"/>
      <c r="N116" s="33"/>
      <c r="O116" s="33"/>
      <c r="P116" s="33">
        <f t="shared" si="2"/>
        <v>2.37851162325373</v>
      </c>
      <c r="Q116" s="36">
        <f t="shared" si="3"/>
        <v>10.966488234632802</v>
      </c>
    </row>
    <row r="117" spans="1:18" ht="13" x14ac:dyDescent="0.15">
      <c r="A117" s="37">
        <v>45848</v>
      </c>
      <c r="B117" s="16">
        <v>23</v>
      </c>
      <c r="C117" s="16">
        <v>15</v>
      </c>
      <c r="E117" s="16" t="s">
        <v>32</v>
      </c>
      <c r="F117" s="22">
        <v>2.2499999999999999E-4</v>
      </c>
      <c r="G117" s="22">
        <v>2.2499999999999999E-4</v>
      </c>
      <c r="H117" s="3">
        <v>2</v>
      </c>
      <c r="I117" s="16" t="s">
        <v>129</v>
      </c>
      <c r="J117" s="16">
        <v>8.3000000000000007</v>
      </c>
      <c r="K117" s="16">
        <v>2</v>
      </c>
      <c r="P117" s="33">
        <f t="shared" si="2"/>
        <v>2.0531113364595623</v>
      </c>
      <c r="Q117" s="36">
        <f t="shared" si="3"/>
        <v>10.64675481263192</v>
      </c>
    </row>
    <row r="118" spans="1:18" ht="13" x14ac:dyDescent="0.15">
      <c r="A118" s="37">
        <v>45848</v>
      </c>
      <c r="B118" s="16">
        <v>23</v>
      </c>
      <c r="C118" s="16">
        <v>15</v>
      </c>
      <c r="E118" s="16" t="s">
        <v>32</v>
      </c>
      <c r="F118" s="22">
        <v>2.2499999999999999E-4</v>
      </c>
      <c r="G118" s="22">
        <v>2.2499999999999999E-4</v>
      </c>
      <c r="H118" s="3">
        <v>3</v>
      </c>
      <c r="I118" s="16" t="s">
        <v>129</v>
      </c>
      <c r="J118" s="16">
        <v>9.35</v>
      </c>
      <c r="K118" s="16">
        <v>2</v>
      </c>
      <c r="P118" s="33">
        <f t="shared" si="2"/>
        <v>2.2249663650002742</v>
      </c>
      <c r="Q118" s="36">
        <f t="shared" si="3"/>
        <v>10.720718481299377</v>
      </c>
    </row>
    <row r="119" spans="1:18" ht="13" x14ac:dyDescent="0.15">
      <c r="A119" s="37">
        <v>45848</v>
      </c>
      <c r="B119" s="16">
        <v>23</v>
      </c>
      <c r="C119" s="16">
        <v>15</v>
      </c>
      <c r="E119" s="39" t="s">
        <v>130</v>
      </c>
      <c r="F119" s="18">
        <v>4000</v>
      </c>
      <c r="G119" s="18">
        <v>2000</v>
      </c>
      <c r="H119" s="3">
        <v>1</v>
      </c>
      <c r="I119" s="16" t="s">
        <v>129</v>
      </c>
      <c r="J119" s="16">
        <v>4.8499999999999996</v>
      </c>
      <c r="K119" s="16">
        <v>2</v>
      </c>
      <c r="P119" s="33">
        <f t="shared" si="2"/>
        <v>1.2779847472997652</v>
      </c>
      <c r="Q119" s="36">
        <f t="shared" si="3"/>
        <v>5.4341122897736431</v>
      </c>
    </row>
    <row r="120" spans="1:18" ht="13" x14ac:dyDescent="0.15">
      <c r="A120" s="32">
        <v>45848</v>
      </c>
      <c r="B120" s="16">
        <v>23</v>
      </c>
      <c r="C120" s="16">
        <v>15</v>
      </c>
      <c r="E120" s="39" t="s">
        <v>130</v>
      </c>
      <c r="F120" s="18">
        <v>4000</v>
      </c>
      <c r="G120" s="18">
        <v>2000</v>
      </c>
      <c r="H120" s="3">
        <v>2</v>
      </c>
      <c r="I120" s="16" t="s">
        <v>129</v>
      </c>
      <c r="J120" s="16">
        <v>6.67</v>
      </c>
      <c r="K120" s="16">
        <v>2</v>
      </c>
      <c r="P120" s="33">
        <f t="shared" si="2"/>
        <v>1.2368847083527026</v>
      </c>
      <c r="Q120" s="36">
        <f t="shared" si="3"/>
        <v>4.8005436251556937</v>
      </c>
    </row>
    <row r="121" spans="1:18" ht="13" x14ac:dyDescent="0.15">
      <c r="A121" s="37">
        <v>45848</v>
      </c>
      <c r="B121" s="16">
        <v>23</v>
      </c>
      <c r="C121" s="16">
        <v>15</v>
      </c>
      <c r="E121" s="39" t="s">
        <v>130</v>
      </c>
      <c r="F121" s="18">
        <v>4000</v>
      </c>
      <c r="G121" s="18">
        <v>2000</v>
      </c>
      <c r="H121" s="3">
        <v>3</v>
      </c>
      <c r="I121" s="16" t="s">
        <v>129</v>
      </c>
      <c r="J121" s="16">
        <v>5.89</v>
      </c>
      <c r="K121" s="16">
        <v>2</v>
      </c>
      <c r="P121" s="33">
        <f t="shared" si="2"/>
        <v>1.558267634055736</v>
      </c>
      <c r="Q121" s="36">
        <f t="shared" si="3"/>
        <v>5.4854586227679452</v>
      </c>
    </row>
    <row r="122" spans="1:18" ht="13" x14ac:dyDescent="0.15">
      <c r="A122" s="37">
        <v>45848</v>
      </c>
      <c r="B122" s="16">
        <v>23</v>
      </c>
      <c r="C122" s="16">
        <v>15</v>
      </c>
      <c r="E122" s="40" t="s">
        <v>131</v>
      </c>
      <c r="F122" s="18">
        <v>8000</v>
      </c>
      <c r="G122" s="18">
        <v>6000</v>
      </c>
      <c r="H122" s="3">
        <v>1</v>
      </c>
      <c r="I122" s="16" t="s">
        <v>129</v>
      </c>
      <c r="J122" s="16">
        <v>4.71</v>
      </c>
      <c r="K122" s="16">
        <v>2</v>
      </c>
      <c r="P122" s="33">
        <f t="shared" si="2"/>
        <v>0.7921204083624438</v>
      </c>
      <c r="Q122" s="36">
        <f t="shared" si="3"/>
        <v>3.3223240242748364</v>
      </c>
    </row>
    <row r="123" spans="1:18" ht="13" x14ac:dyDescent="0.15">
      <c r="A123" s="37">
        <v>45848</v>
      </c>
      <c r="B123" s="16">
        <v>23</v>
      </c>
      <c r="C123" s="16">
        <v>15</v>
      </c>
      <c r="E123" s="40" t="s">
        <v>131</v>
      </c>
      <c r="F123" s="18">
        <v>8000</v>
      </c>
      <c r="G123" s="18">
        <v>6000</v>
      </c>
      <c r="H123" s="3">
        <v>2</v>
      </c>
      <c r="I123" s="16" t="s">
        <v>129</v>
      </c>
      <c r="J123" s="16">
        <v>4.1900000000000004</v>
      </c>
      <c r="K123" s="16">
        <v>2</v>
      </c>
      <c r="P123" s="33">
        <f t="shared" si="2"/>
        <v>0.45341859100669984</v>
      </c>
      <c r="Q123" s="36">
        <f t="shared" si="3"/>
        <v>2.6752627355830416</v>
      </c>
    </row>
    <row r="124" spans="1:18" ht="13" x14ac:dyDescent="0.15">
      <c r="A124" s="32">
        <v>45848</v>
      </c>
      <c r="B124" s="16">
        <v>23</v>
      </c>
      <c r="C124" s="16">
        <v>15</v>
      </c>
      <c r="E124" s="40" t="s">
        <v>131</v>
      </c>
      <c r="F124" s="18">
        <v>8000</v>
      </c>
      <c r="G124" s="18">
        <v>6000</v>
      </c>
      <c r="H124" s="3">
        <v>3</v>
      </c>
      <c r="I124" s="16" t="s">
        <v>129</v>
      </c>
      <c r="J124" s="16">
        <v>4.8</v>
      </c>
      <c r="K124" s="16">
        <v>2</v>
      </c>
      <c r="P124" s="33">
        <f t="shared" si="2"/>
        <v>0.94110631094643149</v>
      </c>
      <c r="Q124" s="36">
        <f t="shared" si="3"/>
        <v>3.0272637714390314</v>
      </c>
    </row>
    <row r="125" spans="1:18" ht="13" x14ac:dyDescent="0.15">
      <c r="A125" s="37">
        <v>45848</v>
      </c>
      <c r="B125" s="16">
        <v>23</v>
      </c>
      <c r="C125" s="16">
        <v>15</v>
      </c>
      <c r="E125" s="41" t="s">
        <v>132</v>
      </c>
      <c r="F125" s="16">
        <v>10000</v>
      </c>
      <c r="G125" s="16">
        <v>10000</v>
      </c>
      <c r="H125" s="3">
        <v>1</v>
      </c>
      <c r="I125" s="16" t="s">
        <v>129</v>
      </c>
      <c r="J125" s="16">
        <v>2.85</v>
      </c>
      <c r="K125" s="16">
        <v>2</v>
      </c>
      <c r="P125" s="33">
        <f t="shared" si="2"/>
        <v>0.51096191927737944</v>
      </c>
      <c r="Q125" s="36">
        <f t="shared" si="3"/>
        <v>5.5893239385466913</v>
      </c>
    </row>
    <row r="126" spans="1:18" ht="13" x14ac:dyDescent="0.15">
      <c r="A126" s="37">
        <v>45848</v>
      </c>
      <c r="B126" s="16">
        <v>23</v>
      </c>
      <c r="C126" s="16">
        <v>15</v>
      </c>
      <c r="E126" s="41" t="s">
        <v>132</v>
      </c>
      <c r="F126" s="16">
        <v>10000</v>
      </c>
      <c r="G126" s="16">
        <v>10000</v>
      </c>
      <c r="H126" s="3">
        <v>2</v>
      </c>
      <c r="I126" s="16" t="s">
        <v>129</v>
      </c>
      <c r="J126" s="16">
        <v>4.58</v>
      </c>
      <c r="K126" s="16">
        <v>2</v>
      </c>
      <c r="P126" s="33">
        <f t="shared" si="2"/>
        <v>1.1953475983222193</v>
      </c>
      <c r="Q126" s="36">
        <f t="shared" si="3"/>
        <v>6.1097550623270411</v>
      </c>
    </row>
    <row r="127" spans="1:18" ht="13" x14ac:dyDescent="0.15">
      <c r="A127" s="37">
        <v>45848</v>
      </c>
      <c r="B127" s="16">
        <v>23</v>
      </c>
      <c r="C127" s="16">
        <v>15</v>
      </c>
      <c r="E127" s="41" t="s">
        <v>132</v>
      </c>
      <c r="F127" s="16">
        <v>10000</v>
      </c>
      <c r="G127" s="16">
        <v>10000</v>
      </c>
      <c r="H127" s="3">
        <v>3</v>
      </c>
      <c r="I127" s="16" t="s">
        <v>129</v>
      </c>
      <c r="J127" s="16">
        <v>5.1100000000000003</v>
      </c>
      <c r="K127" s="16">
        <v>2</v>
      </c>
      <c r="P127" s="33">
        <f t="shared" si="2"/>
        <v>1.353323291162897</v>
      </c>
      <c r="Q127" s="36">
        <f t="shared" si="3"/>
        <v>6.2863461689734619</v>
      </c>
    </row>
    <row r="128" spans="1:18" ht="13" x14ac:dyDescent="0.15">
      <c r="A128" s="32">
        <v>45848</v>
      </c>
      <c r="B128" s="16">
        <v>23</v>
      </c>
      <c r="C128" s="16">
        <v>15</v>
      </c>
      <c r="E128" s="42" t="s">
        <v>133</v>
      </c>
      <c r="F128" s="18">
        <v>2000</v>
      </c>
      <c r="G128" s="18">
        <v>2000</v>
      </c>
      <c r="H128" s="3">
        <v>1</v>
      </c>
      <c r="I128" s="16" t="s">
        <v>129</v>
      </c>
      <c r="J128" s="16">
        <v>8.02</v>
      </c>
      <c r="K128" s="16">
        <v>2</v>
      </c>
      <c r="P128" s="33">
        <f t="shared" si="2"/>
        <v>2.0036022366801958</v>
      </c>
      <c r="Q128" s="36">
        <f t="shared" si="3"/>
        <v>4.910133508390027</v>
      </c>
    </row>
    <row r="129" spans="1:17" ht="13" x14ac:dyDescent="0.15">
      <c r="A129" s="37">
        <v>45848</v>
      </c>
      <c r="B129" s="16">
        <v>23</v>
      </c>
      <c r="C129" s="16">
        <v>15</v>
      </c>
      <c r="E129" s="42" t="s">
        <v>133</v>
      </c>
      <c r="F129" s="18">
        <v>2000</v>
      </c>
      <c r="G129" s="18">
        <v>2000</v>
      </c>
      <c r="H129" s="3">
        <v>2</v>
      </c>
      <c r="I129" s="16" t="s">
        <v>129</v>
      </c>
      <c r="J129" s="16">
        <v>6.3</v>
      </c>
      <c r="K129" s="16">
        <v>2</v>
      </c>
      <c r="P129" s="33">
        <f t="shared" si="2"/>
        <v>1.6553518286125541</v>
      </c>
      <c r="Q129" s="36">
        <f t="shared" si="3"/>
        <v>4.8471431195155947</v>
      </c>
    </row>
    <row r="130" spans="1:17" ht="13" x14ac:dyDescent="0.15">
      <c r="A130" s="37">
        <v>45848</v>
      </c>
      <c r="B130" s="16">
        <v>23</v>
      </c>
      <c r="C130" s="16">
        <v>15</v>
      </c>
      <c r="E130" s="42" t="s">
        <v>133</v>
      </c>
      <c r="F130" s="18">
        <v>2000</v>
      </c>
      <c r="G130" s="18">
        <v>2000</v>
      </c>
      <c r="H130" s="3">
        <v>3</v>
      </c>
      <c r="I130" s="16" t="s">
        <v>129</v>
      </c>
      <c r="J130" s="16">
        <v>7.99</v>
      </c>
      <c r="K130" s="16">
        <v>2</v>
      </c>
      <c r="P130" s="33">
        <f t="shared" si="2"/>
        <v>1.9981955031532523</v>
      </c>
      <c r="Q130" s="36">
        <f t="shared" si="3"/>
        <v>6.083116432722492</v>
      </c>
    </row>
    <row r="131" spans="1:17" ht="13" x14ac:dyDescent="0.15">
      <c r="A131" s="37">
        <v>45848</v>
      </c>
      <c r="B131" s="16">
        <v>23</v>
      </c>
      <c r="C131" s="16">
        <v>15</v>
      </c>
      <c r="E131" s="43" t="s">
        <v>135</v>
      </c>
      <c r="F131" s="18">
        <v>5000</v>
      </c>
      <c r="G131" s="18">
        <v>5000</v>
      </c>
      <c r="H131" s="3">
        <v>1</v>
      </c>
      <c r="I131" s="16" t="s">
        <v>129</v>
      </c>
      <c r="J131" s="16">
        <v>5.0199999999999996</v>
      </c>
      <c r="K131" s="16">
        <v>2</v>
      </c>
      <c r="P131" s="33">
        <f t="shared" si="2"/>
        <v>1.3276873641760472</v>
      </c>
      <c r="Q131" s="36">
        <f t="shared" si="3"/>
        <v>4.2100731507400457</v>
      </c>
    </row>
    <row r="132" spans="1:17" ht="13" x14ac:dyDescent="0.15">
      <c r="A132" s="32">
        <v>45848</v>
      </c>
      <c r="B132" s="16">
        <v>23</v>
      </c>
      <c r="C132" s="16">
        <v>15</v>
      </c>
      <c r="E132" s="43" t="s">
        <v>135</v>
      </c>
      <c r="F132" s="18">
        <v>5000</v>
      </c>
      <c r="G132" s="18">
        <v>5000</v>
      </c>
      <c r="H132" s="3">
        <v>2</v>
      </c>
      <c r="I132" s="16" t="s">
        <v>129</v>
      </c>
      <c r="J132" s="16">
        <v>6.05</v>
      </c>
      <c r="K132" s="16">
        <v>2</v>
      </c>
      <c r="P132" s="33">
        <f t="shared" si="2"/>
        <v>1.5969351423872324</v>
      </c>
      <c r="Q132" s="36">
        <f t="shared" si="3"/>
        <v>4.6643969530801446</v>
      </c>
    </row>
    <row r="133" spans="1:17" ht="13" x14ac:dyDescent="0.15">
      <c r="A133" s="37">
        <v>45848</v>
      </c>
      <c r="B133" s="16">
        <v>23</v>
      </c>
      <c r="C133" s="16">
        <v>15</v>
      </c>
      <c r="E133" s="43" t="s">
        <v>135</v>
      </c>
      <c r="F133" s="18">
        <v>5000</v>
      </c>
      <c r="G133" s="18">
        <v>5000</v>
      </c>
      <c r="H133" s="3">
        <v>3</v>
      </c>
      <c r="I133" s="16" t="s">
        <v>129</v>
      </c>
      <c r="J133" s="16">
        <v>7.7</v>
      </c>
      <c r="K133" s="16">
        <v>2</v>
      </c>
      <c r="P133" s="33">
        <f t="shared" si="2"/>
        <v>1.9448584458075391</v>
      </c>
      <c r="Q133" s="36">
        <f t="shared" si="3"/>
        <v>4.8233485823436304</v>
      </c>
    </row>
    <row r="134" spans="1:17" ht="13" x14ac:dyDescent="0.15">
      <c r="A134" s="37">
        <v>45848</v>
      </c>
      <c r="B134" s="16">
        <v>23</v>
      </c>
      <c r="C134" s="16">
        <v>15</v>
      </c>
      <c r="E134" s="44" t="s">
        <v>136</v>
      </c>
      <c r="F134" s="18">
        <v>2500</v>
      </c>
      <c r="G134" s="18">
        <v>2500</v>
      </c>
      <c r="H134" s="3">
        <v>1</v>
      </c>
      <c r="I134" s="16" t="s">
        <v>129</v>
      </c>
      <c r="J134" s="16">
        <v>5.14</v>
      </c>
      <c r="K134" s="16">
        <v>2</v>
      </c>
      <c r="P134" s="33">
        <f t="shared" si="2"/>
        <v>1.1601344982495028</v>
      </c>
      <c r="Q134" s="36">
        <f t="shared" si="3"/>
        <v>2.7623062890028818</v>
      </c>
    </row>
    <row r="135" spans="1:17" ht="13" x14ac:dyDescent="0.15">
      <c r="A135" s="37">
        <v>45848</v>
      </c>
      <c r="B135" s="16">
        <v>23</v>
      </c>
      <c r="C135" s="16">
        <v>15</v>
      </c>
      <c r="E135" s="44" t="s">
        <v>136</v>
      </c>
      <c r="F135" s="18">
        <v>2500</v>
      </c>
      <c r="G135" s="18">
        <v>2500</v>
      </c>
      <c r="H135" s="3">
        <v>2</v>
      </c>
      <c r="I135" s="16" t="s">
        <v>129</v>
      </c>
      <c r="J135" s="16">
        <v>5.98</v>
      </c>
      <c r="K135" s="16">
        <v>2</v>
      </c>
      <c r="P135" s="33">
        <f t="shared" si="2"/>
        <v>1.3171110785895868</v>
      </c>
      <c r="Q135" s="36">
        <f t="shared" si="3"/>
        <v>2.8461823784186979</v>
      </c>
    </row>
    <row r="136" spans="1:17" ht="13" x14ac:dyDescent="0.15">
      <c r="A136" s="37">
        <v>45848</v>
      </c>
      <c r="B136" s="16">
        <v>23</v>
      </c>
      <c r="C136" s="16">
        <v>15</v>
      </c>
      <c r="E136" s="44" t="s">
        <v>136</v>
      </c>
      <c r="F136" s="18">
        <v>2500</v>
      </c>
      <c r="G136" s="18">
        <v>2500</v>
      </c>
      <c r="H136" s="3">
        <v>3</v>
      </c>
      <c r="I136" s="16" t="s">
        <v>129</v>
      </c>
      <c r="J136" s="16">
        <v>5.09</v>
      </c>
      <c r="K136" s="16">
        <v>2</v>
      </c>
      <c r="P136" s="33">
        <f t="shared" si="2"/>
        <v>1.121157126492291</v>
      </c>
      <c r="Q136" s="36">
        <f t="shared" si="3"/>
        <v>2.6375001214784799</v>
      </c>
    </row>
    <row r="137" spans="1:17" ht="13" x14ac:dyDescent="0.15">
      <c r="A137" s="32">
        <v>45851</v>
      </c>
      <c r="B137" s="33">
        <v>26</v>
      </c>
      <c r="C137" s="33">
        <v>18</v>
      </c>
      <c r="D137" s="33"/>
      <c r="E137" s="33" t="s">
        <v>32</v>
      </c>
      <c r="F137" s="34">
        <v>2.2499999999999999E-4</v>
      </c>
      <c r="G137" s="34">
        <v>2.2499999999999999E-4</v>
      </c>
      <c r="H137" s="35">
        <v>1</v>
      </c>
      <c r="I137" s="33" t="s">
        <v>129</v>
      </c>
      <c r="J137" s="33">
        <v>9.2200000000000006</v>
      </c>
      <c r="K137" s="33">
        <v>2</v>
      </c>
      <c r="L137" s="33"/>
      <c r="M137" s="33"/>
      <c r="N137" s="33"/>
      <c r="O137" s="33"/>
      <c r="P137" s="33">
        <f t="shared" si="2"/>
        <v>2.2047667506546134</v>
      </c>
      <c r="Q137" s="36">
        <f t="shared" si="3"/>
        <v>13.171254985287415</v>
      </c>
    </row>
    <row r="138" spans="1:17" ht="13" x14ac:dyDescent="0.15">
      <c r="A138" s="37">
        <v>45851</v>
      </c>
      <c r="B138" s="16">
        <v>26</v>
      </c>
      <c r="C138" s="16">
        <v>18</v>
      </c>
      <c r="E138" s="16" t="s">
        <v>32</v>
      </c>
      <c r="F138" s="22">
        <v>2.2499999999999999E-4</v>
      </c>
      <c r="G138" s="22">
        <v>2.2499999999999999E-4</v>
      </c>
      <c r="H138" s="3">
        <v>2</v>
      </c>
      <c r="I138" s="16" t="s">
        <v>129</v>
      </c>
      <c r="J138" s="16">
        <v>9.85</v>
      </c>
      <c r="K138" s="16">
        <v>2</v>
      </c>
      <c r="P138" s="33">
        <f t="shared" si="2"/>
        <v>2.3001237245690143</v>
      </c>
      <c r="Q138" s="36">
        <f t="shared" si="3"/>
        <v>12.946878537200934</v>
      </c>
    </row>
    <row r="139" spans="1:17" ht="13" x14ac:dyDescent="0.15">
      <c r="A139" s="37">
        <v>45851</v>
      </c>
      <c r="B139" s="16">
        <v>26</v>
      </c>
      <c r="C139" s="16">
        <v>18</v>
      </c>
      <c r="E139" s="16" t="s">
        <v>32</v>
      </c>
      <c r="F139" s="22">
        <v>2.2499999999999999E-4</v>
      </c>
      <c r="G139" s="22">
        <v>2.2499999999999999E-4</v>
      </c>
      <c r="H139" s="3">
        <v>3</v>
      </c>
      <c r="I139" s="16" t="s">
        <v>129</v>
      </c>
      <c r="J139" s="16">
        <v>7.21</v>
      </c>
      <c r="K139" s="16">
        <v>2</v>
      </c>
      <c r="P139" s="33">
        <f t="shared" si="2"/>
        <v>1.8499992594660977</v>
      </c>
      <c r="Q139" s="36">
        <f t="shared" si="3"/>
        <v>12.570717740765474</v>
      </c>
    </row>
    <row r="140" spans="1:17" ht="13" x14ac:dyDescent="0.15">
      <c r="A140" s="32">
        <v>45851</v>
      </c>
      <c r="B140" s="16">
        <v>26</v>
      </c>
      <c r="C140" s="16">
        <v>18</v>
      </c>
      <c r="E140" s="39" t="s">
        <v>130</v>
      </c>
      <c r="F140" s="18">
        <v>4000</v>
      </c>
      <c r="G140" s="18">
        <v>2000</v>
      </c>
      <c r="H140" s="3">
        <v>1</v>
      </c>
      <c r="I140" s="16" t="s">
        <v>129</v>
      </c>
      <c r="J140" s="16">
        <v>4.68</v>
      </c>
      <c r="K140" s="16">
        <v>2</v>
      </c>
      <c r="P140" s="33">
        <f t="shared" si="2"/>
        <v>1.2265085298086797</v>
      </c>
      <c r="Q140" s="36">
        <f t="shared" si="3"/>
        <v>6.6606208195823227</v>
      </c>
    </row>
    <row r="141" spans="1:17" ht="13" x14ac:dyDescent="0.15">
      <c r="A141" s="37">
        <v>45851</v>
      </c>
      <c r="B141" s="16">
        <v>26</v>
      </c>
      <c r="C141" s="16">
        <v>18</v>
      </c>
      <c r="E141" s="39" t="s">
        <v>130</v>
      </c>
      <c r="F141" s="18">
        <v>4000</v>
      </c>
      <c r="G141" s="18">
        <v>2000</v>
      </c>
      <c r="H141" s="3">
        <v>2</v>
      </c>
      <c r="I141" s="16" t="s">
        <v>129</v>
      </c>
      <c r="J141" s="16">
        <v>5.01</v>
      </c>
      <c r="K141" s="16">
        <v>2</v>
      </c>
      <c r="P141" s="33">
        <f t="shared" si="2"/>
        <v>1.3248106034204838</v>
      </c>
      <c r="Q141" s="36">
        <f t="shared" si="3"/>
        <v>6.1253542285761773</v>
      </c>
    </row>
    <row r="142" spans="1:17" ht="13" x14ac:dyDescent="0.15">
      <c r="A142" s="37">
        <v>45851</v>
      </c>
      <c r="B142" s="16">
        <v>26</v>
      </c>
      <c r="C142" s="16">
        <v>18</v>
      </c>
      <c r="E142" s="39" t="s">
        <v>130</v>
      </c>
      <c r="F142" s="18">
        <v>4000</v>
      </c>
      <c r="G142" s="18">
        <v>2000</v>
      </c>
      <c r="H142" s="3">
        <v>3</v>
      </c>
      <c r="I142" s="16" t="s">
        <v>129</v>
      </c>
      <c r="J142" s="16">
        <v>4.28</v>
      </c>
      <c r="K142" s="16">
        <v>2</v>
      </c>
      <c r="P142" s="33">
        <f t="shared" si="2"/>
        <v>1.0976107966264224</v>
      </c>
      <c r="Q142" s="36">
        <f t="shared" si="3"/>
        <v>6.5830694193943673</v>
      </c>
    </row>
    <row r="143" spans="1:17" ht="13" x14ac:dyDescent="0.15">
      <c r="A143" s="32">
        <v>45851</v>
      </c>
      <c r="B143" s="16">
        <v>26</v>
      </c>
      <c r="C143" s="16">
        <v>18</v>
      </c>
      <c r="E143" s="40" t="s">
        <v>131</v>
      </c>
      <c r="F143" s="18">
        <v>8000</v>
      </c>
      <c r="G143" s="18">
        <v>0</v>
      </c>
      <c r="H143" s="3">
        <v>1</v>
      </c>
      <c r="I143" s="16" t="s">
        <v>129</v>
      </c>
      <c r="J143" s="16">
        <v>2.59</v>
      </c>
      <c r="K143" s="16">
        <v>2.59</v>
      </c>
      <c r="P143" s="33">
        <f t="shared" si="2"/>
        <v>0.37295209791182909</v>
      </c>
      <c r="Q143" s="36">
        <f t="shared" si="3"/>
        <v>3.6952761221866655</v>
      </c>
    </row>
    <row r="144" spans="1:17" ht="13" x14ac:dyDescent="0.15">
      <c r="A144" s="37">
        <v>45851</v>
      </c>
      <c r="B144" s="16">
        <v>26</v>
      </c>
      <c r="C144" s="16">
        <v>18</v>
      </c>
      <c r="E144" s="40" t="s">
        <v>131</v>
      </c>
      <c r="F144" s="18">
        <v>8000</v>
      </c>
      <c r="G144" s="18">
        <v>0</v>
      </c>
      <c r="H144" s="3">
        <v>2</v>
      </c>
      <c r="I144" s="16" t="s">
        <v>129</v>
      </c>
      <c r="J144" s="16">
        <v>3.07</v>
      </c>
      <c r="K144" s="16">
        <v>3.07</v>
      </c>
      <c r="P144" s="33">
        <f t="shared" si="2"/>
        <v>0.61823865559545466</v>
      </c>
      <c r="Q144" s="36">
        <f t="shared" si="3"/>
        <v>3.2935013911784963</v>
      </c>
    </row>
    <row r="145" spans="1:17" ht="13" x14ac:dyDescent="0.15">
      <c r="A145" s="37">
        <v>45851</v>
      </c>
      <c r="B145" s="16">
        <v>26</v>
      </c>
      <c r="C145" s="16">
        <v>18</v>
      </c>
      <c r="E145" s="40" t="s">
        <v>131</v>
      </c>
      <c r="F145" s="18">
        <v>8000</v>
      </c>
      <c r="G145" s="18">
        <v>0</v>
      </c>
      <c r="H145" s="3">
        <v>3</v>
      </c>
      <c r="I145" s="16" t="s">
        <v>129</v>
      </c>
      <c r="J145" s="16">
        <v>2.44</v>
      </c>
      <c r="K145" s="16">
        <v>2.44</v>
      </c>
      <c r="P145" s="33">
        <f t="shared" si="2"/>
        <v>0.28688114778816154</v>
      </c>
      <c r="Q145" s="36">
        <f t="shared" si="3"/>
        <v>3.3141449192271928</v>
      </c>
    </row>
    <row r="146" spans="1:17" ht="13" x14ac:dyDescent="0.15">
      <c r="A146" s="32">
        <v>45851</v>
      </c>
      <c r="B146" s="16">
        <v>26</v>
      </c>
      <c r="C146" s="16">
        <v>18</v>
      </c>
      <c r="E146" s="41" t="s">
        <v>132</v>
      </c>
      <c r="F146" s="16">
        <v>10000</v>
      </c>
      <c r="G146" s="16">
        <v>10000</v>
      </c>
      <c r="H146" s="3">
        <v>1</v>
      </c>
      <c r="I146" s="16" t="s">
        <v>129</v>
      </c>
      <c r="J146" s="16">
        <v>4.59</v>
      </c>
      <c r="K146" s="16">
        <v>2</v>
      </c>
      <c r="P146" s="33">
        <f t="shared" si="2"/>
        <v>1.1984941536390832</v>
      </c>
      <c r="Q146" s="36">
        <f t="shared" si="3"/>
        <v>6.7878180921857743</v>
      </c>
    </row>
    <row r="147" spans="1:17" ht="13" x14ac:dyDescent="0.15">
      <c r="A147" s="37">
        <v>45851</v>
      </c>
      <c r="B147" s="16">
        <v>26</v>
      </c>
      <c r="C147" s="16">
        <v>18</v>
      </c>
      <c r="E147" s="41" t="s">
        <v>132</v>
      </c>
      <c r="F147" s="16">
        <v>10000</v>
      </c>
      <c r="G147" s="16">
        <v>10000</v>
      </c>
      <c r="H147" s="3">
        <v>2</v>
      </c>
      <c r="I147" s="16" t="s">
        <v>129</v>
      </c>
      <c r="J147" s="16">
        <v>4.4400000000000004</v>
      </c>
      <c r="K147" s="16">
        <v>2</v>
      </c>
      <c r="P147" s="33">
        <f t="shared" si="2"/>
        <v>1.1505596765753814</v>
      </c>
      <c r="Q147" s="36">
        <f t="shared" si="3"/>
        <v>7.260314738902423</v>
      </c>
    </row>
    <row r="148" spans="1:17" ht="13" x14ac:dyDescent="0.15">
      <c r="A148" s="37">
        <v>45851</v>
      </c>
      <c r="B148" s="16">
        <v>26</v>
      </c>
      <c r="C148" s="16">
        <v>18</v>
      </c>
      <c r="E148" s="41" t="s">
        <v>132</v>
      </c>
      <c r="F148" s="16">
        <v>10000</v>
      </c>
      <c r="G148" s="16">
        <v>10000</v>
      </c>
      <c r="H148" s="3">
        <v>3</v>
      </c>
      <c r="I148" s="16" t="s">
        <v>129</v>
      </c>
      <c r="J148" s="16">
        <v>5.16</v>
      </c>
      <c r="K148" s="16">
        <v>2</v>
      </c>
      <c r="P148" s="33">
        <f t="shared" si="2"/>
        <v>1.3673710656485296</v>
      </c>
      <c r="Q148" s="36">
        <f t="shared" si="3"/>
        <v>7.6537172346219915</v>
      </c>
    </row>
    <row r="149" spans="1:17" ht="13" x14ac:dyDescent="0.15">
      <c r="A149" s="32">
        <v>45851</v>
      </c>
      <c r="B149" s="16">
        <v>26</v>
      </c>
      <c r="C149" s="16">
        <v>18</v>
      </c>
      <c r="E149" s="42" t="s">
        <v>133</v>
      </c>
      <c r="F149" s="18">
        <v>2000</v>
      </c>
      <c r="G149" s="18">
        <v>0</v>
      </c>
      <c r="H149" s="3">
        <v>1</v>
      </c>
      <c r="I149" s="16" t="s">
        <v>129</v>
      </c>
      <c r="J149" s="16">
        <v>3.16</v>
      </c>
      <c r="K149" s="16">
        <v>3.16</v>
      </c>
      <c r="P149" s="33">
        <f t="shared" si="2"/>
        <v>0.65992455840237829</v>
      </c>
      <c r="Q149" s="36">
        <f t="shared" si="3"/>
        <v>5.5700580667924058</v>
      </c>
    </row>
    <row r="150" spans="1:17" ht="13" x14ac:dyDescent="0.15">
      <c r="A150" s="37">
        <v>45851</v>
      </c>
      <c r="B150" s="16">
        <v>26</v>
      </c>
      <c r="C150" s="16">
        <v>18</v>
      </c>
      <c r="E150" s="42" t="s">
        <v>133</v>
      </c>
      <c r="F150" s="18">
        <v>2000</v>
      </c>
      <c r="G150" s="18">
        <v>0</v>
      </c>
      <c r="H150" s="3">
        <v>2</v>
      </c>
      <c r="I150" s="16" t="s">
        <v>129</v>
      </c>
      <c r="J150" s="16">
        <v>3.14</v>
      </c>
      <c r="K150" s="16">
        <v>3.14</v>
      </c>
      <c r="P150" s="33">
        <f t="shared" si="2"/>
        <v>0.65076455911690234</v>
      </c>
      <c r="Q150" s="36">
        <f t="shared" si="3"/>
        <v>5.4979076786324974</v>
      </c>
    </row>
    <row r="151" spans="1:17" ht="13" x14ac:dyDescent="0.15">
      <c r="A151" s="37">
        <v>45851</v>
      </c>
      <c r="B151" s="16">
        <v>26</v>
      </c>
      <c r="C151" s="16">
        <v>18</v>
      </c>
      <c r="E151" s="42" t="s">
        <v>133</v>
      </c>
      <c r="F151" s="18">
        <v>2000</v>
      </c>
      <c r="G151" s="18">
        <v>0</v>
      </c>
      <c r="H151" s="3">
        <v>3</v>
      </c>
      <c r="I151" s="16" t="s">
        <v>129</v>
      </c>
      <c r="J151" s="16">
        <v>2.08</v>
      </c>
      <c r="K151" s="16">
        <v>2.08</v>
      </c>
      <c r="P151" s="33">
        <f t="shared" si="2"/>
        <v>5.6583528366367514E-2</v>
      </c>
      <c r="Q151" s="36">
        <f t="shared" si="3"/>
        <v>6.1396999610888594</v>
      </c>
    </row>
    <row r="152" spans="1:17" ht="13" x14ac:dyDescent="0.15">
      <c r="A152" s="32">
        <v>45851</v>
      </c>
      <c r="B152" s="16">
        <v>26</v>
      </c>
      <c r="C152" s="16">
        <v>18</v>
      </c>
      <c r="E152" s="43" t="s">
        <v>135</v>
      </c>
      <c r="F152" s="18">
        <v>5000</v>
      </c>
      <c r="G152" s="18">
        <v>0</v>
      </c>
      <c r="H152" s="3">
        <v>1</v>
      </c>
      <c r="I152" s="16" t="s">
        <v>129</v>
      </c>
      <c r="J152" s="16">
        <v>2.85</v>
      </c>
      <c r="K152" s="16">
        <v>2.85</v>
      </c>
      <c r="P152" s="33">
        <f t="shared" si="2"/>
        <v>0.51096191927737944</v>
      </c>
      <c r="Q152" s="36">
        <f t="shared" si="3"/>
        <v>4.7210350700174253</v>
      </c>
    </row>
    <row r="153" spans="1:17" ht="13" x14ac:dyDescent="0.15">
      <c r="A153" s="37">
        <v>45851</v>
      </c>
      <c r="B153" s="16">
        <v>26</v>
      </c>
      <c r="C153" s="16">
        <v>18</v>
      </c>
      <c r="E153" s="43" t="s">
        <v>135</v>
      </c>
      <c r="F153" s="18">
        <v>5000</v>
      </c>
      <c r="G153" s="18">
        <v>0</v>
      </c>
      <c r="H153" s="3">
        <v>2</v>
      </c>
      <c r="I153" s="16" t="s">
        <v>129</v>
      </c>
      <c r="J153" s="16">
        <v>2.76</v>
      </c>
      <c r="K153" s="16">
        <v>2.76</v>
      </c>
      <c r="P153" s="33">
        <f t="shared" si="2"/>
        <v>0.46466826700344421</v>
      </c>
      <c r="Q153" s="36">
        <f t="shared" si="3"/>
        <v>5.1290652200835884</v>
      </c>
    </row>
    <row r="154" spans="1:17" ht="13" x14ac:dyDescent="0.15">
      <c r="A154" s="37">
        <v>45851</v>
      </c>
      <c r="B154" s="16">
        <v>26</v>
      </c>
      <c r="C154" s="16">
        <v>18</v>
      </c>
      <c r="E154" s="43" t="s">
        <v>135</v>
      </c>
      <c r="F154" s="18">
        <v>5000</v>
      </c>
      <c r="G154" s="18">
        <v>0</v>
      </c>
      <c r="H154" s="3">
        <v>3</v>
      </c>
      <c r="I154" s="16" t="s">
        <v>129</v>
      </c>
      <c r="J154" s="16">
        <v>2.09</v>
      </c>
      <c r="K154" s="16">
        <v>2.09</v>
      </c>
      <c r="P154" s="33">
        <f t="shared" si="2"/>
        <v>6.3502942306157953E-2</v>
      </c>
      <c r="Q154" s="36">
        <f t="shared" si="3"/>
        <v>4.8868515246497886</v>
      </c>
    </row>
    <row r="155" spans="1:17" ht="13" x14ac:dyDescent="0.15">
      <c r="A155" s="32">
        <v>45851</v>
      </c>
      <c r="B155" s="16">
        <v>26</v>
      </c>
      <c r="C155" s="16">
        <v>18</v>
      </c>
      <c r="E155" s="44" t="s">
        <v>136</v>
      </c>
      <c r="F155" s="18">
        <v>2500</v>
      </c>
      <c r="G155" s="18">
        <v>1000</v>
      </c>
      <c r="H155" s="3">
        <v>1</v>
      </c>
      <c r="I155" s="16" t="s">
        <v>129</v>
      </c>
      <c r="J155" s="16">
        <v>2.2599999999999998</v>
      </c>
      <c r="K155" s="16">
        <v>2.2599999999999998</v>
      </c>
      <c r="P155" s="33">
        <f t="shared" si="2"/>
        <v>0.17632277264046289</v>
      </c>
      <c r="Q155" s="36">
        <f t="shared" si="3"/>
        <v>2.9386290616433448</v>
      </c>
    </row>
    <row r="156" spans="1:17" ht="13" x14ac:dyDescent="0.15">
      <c r="A156" s="37">
        <v>45851</v>
      </c>
      <c r="B156" s="16">
        <v>26</v>
      </c>
      <c r="C156" s="16">
        <v>18</v>
      </c>
      <c r="E156" s="44" t="s">
        <v>136</v>
      </c>
      <c r="F156" s="18">
        <v>2500</v>
      </c>
      <c r="G156" s="18">
        <v>1000</v>
      </c>
      <c r="H156" s="3">
        <v>2</v>
      </c>
      <c r="I156" s="16" t="s">
        <v>129</v>
      </c>
      <c r="J156" s="16">
        <v>1.39</v>
      </c>
      <c r="K156" s="16">
        <v>1.39</v>
      </c>
      <c r="P156" s="33">
        <f t="shared" si="2"/>
        <v>-0.52491511705121741</v>
      </c>
      <c r="Q156" s="36">
        <f t="shared" si="3"/>
        <v>2.3212672613674803</v>
      </c>
    </row>
    <row r="157" spans="1:17" ht="13" x14ac:dyDescent="0.15">
      <c r="A157" s="37">
        <v>45851</v>
      </c>
      <c r="B157" s="16">
        <v>26</v>
      </c>
      <c r="C157" s="16">
        <v>18</v>
      </c>
      <c r="E157" s="44" t="s">
        <v>136</v>
      </c>
      <c r="F157" s="18">
        <v>2500</v>
      </c>
      <c r="G157" s="18">
        <v>1000</v>
      </c>
      <c r="H157" s="3">
        <v>3</v>
      </c>
      <c r="I157" s="16" t="s">
        <v>129</v>
      </c>
      <c r="J157" s="16">
        <v>1.62</v>
      </c>
      <c r="K157" s="16">
        <v>1.62</v>
      </c>
      <c r="P157" s="33">
        <f t="shared" si="2"/>
        <v>-0.30400618689009989</v>
      </c>
      <c r="Q157" s="36">
        <f t="shared" si="3"/>
        <v>2.3334939345883798</v>
      </c>
    </row>
    <row r="158" spans="1:17" ht="13" x14ac:dyDescent="0.15">
      <c r="A158" s="37">
        <v>45854</v>
      </c>
      <c r="B158" s="33">
        <v>29</v>
      </c>
      <c r="C158" s="33">
        <v>21</v>
      </c>
      <c r="D158" s="33"/>
      <c r="E158" s="33" t="s">
        <v>32</v>
      </c>
      <c r="F158" s="54">
        <v>2.2499999999999999E-4</v>
      </c>
      <c r="G158" s="54">
        <v>2.2499999999999999E-4</v>
      </c>
      <c r="H158" s="35">
        <v>1</v>
      </c>
      <c r="I158" s="33" t="s">
        <v>129</v>
      </c>
      <c r="J158" s="33">
        <v>8.3699999999999992</v>
      </c>
      <c r="K158" s="33"/>
      <c r="L158" s="33"/>
      <c r="M158" s="33"/>
      <c r="N158" s="33"/>
      <c r="O158" s="33"/>
      <c r="P158" s="33">
        <f t="shared" si="2"/>
        <v>2.0652276227756192</v>
      </c>
      <c r="Q158" s="36">
        <f t="shared" si="3"/>
        <v>15.236482608063035</v>
      </c>
    </row>
    <row r="159" spans="1:17" ht="13" x14ac:dyDescent="0.15">
      <c r="A159" s="37">
        <v>45854</v>
      </c>
      <c r="B159" s="16">
        <v>29</v>
      </c>
      <c r="C159" s="16">
        <v>21</v>
      </c>
      <c r="E159" s="16" t="s">
        <v>32</v>
      </c>
      <c r="F159" s="55">
        <v>2.2499999999999999E-4</v>
      </c>
      <c r="G159" s="55">
        <v>2.2499999999999999E-4</v>
      </c>
      <c r="H159" s="3">
        <v>2</v>
      </c>
      <c r="I159" s="16" t="s">
        <v>129</v>
      </c>
      <c r="J159" s="16">
        <v>8.8800000000000008</v>
      </c>
      <c r="P159" s="33">
        <f t="shared" si="2"/>
        <v>2.1505596765753814</v>
      </c>
      <c r="Q159" s="36">
        <f t="shared" si="3"/>
        <v>15.097438213776316</v>
      </c>
    </row>
    <row r="160" spans="1:17" ht="13" x14ac:dyDescent="0.15">
      <c r="A160" s="37">
        <v>45854</v>
      </c>
      <c r="B160" s="16">
        <v>29</v>
      </c>
      <c r="C160" s="16">
        <v>21</v>
      </c>
      <c r="E160" s="16" t="s">
        <v>32</v>
      </c>
      <c r="F160" s="55">
        <v>2.2499999999999999E-4</v>
      </c>
      <c r="G160" s="55">
        <v>2.2499999999999999E-4</v>
      </c>
      <c r="H160" s="3">
        <v>3</v>
      </c>
      <c r="I160" s="16" t="s">
        <v>129</v>
      </c>
      <c r="J160" s="16">
        <v>8.48</v>
      </c>
      <c r="P160" s="33">
        <f t="shared" si="2"/>
        <v>2.0840642647884744</v>
      </c>
      <c r="Q160" s="36">
        <f t="shared" si="3"/>
        <v>14.654782005553947</v>
      </c>
    </row>
    <row r="161" spans="1:17" ht="13" x14ac:dyDescent="0.15">
      <c r="A161" s="56">
        <v>45854</v>
      </c>
      <c r="B161" s="16">
        <v>29</v>
      </c>
      <c r="C161" s="16">
        <v>21</v>
      </c>
      <c r="E161" s="39" t="s">
        <v>130</v>
      </c>
      <c r="F161" s="57">
        <v>4000</v>
      </c>
      <c r="G161" s="58">
        <v>2000</v>
      </c>
      <c r="H161" s="3">
        <v>1</v>
      </c>
      <c r="I161" s="16" t="s">
        <v>129</v>
      </c>
      <c r="J161" s="16">
        <v>3.91</v>
      </c>
      <c r="P161" s="33">
        <f t="shared" si="2"/>
        <v>0.96716860753262757</v>
      </c>
      <c r="Q161" s="36">
        <f t="shared" si="3"/>
        <v>7.6277894271149504</v>
      </c>
    </row>
    <row r="162" spans="1:17" ht="13" x14ac:dyDescent="0.15">
      <c r="A162" s="56">
        <v>45854</v>
      </c>
      <c r="B162" s="16">
        <v>29</v>
      </c>
      <c r="C162" s="16">
        <v>21</v>
      </c>
      <c r="E162" s="39" t="s">
        <v>130</v>
      </c>
      <c r="F162" s="57">
        <v>4000</v>
      </c>
      <c r="G162" s="58">
        <v>2000</v>
      </c>
      <c r="H162" s="3">
        <v>2</v>
      </c>
      <c r="I162" s="16" t="s">
        <v>129</v>
      </c>
      <c r="J162" s="16">
        <v>3.87</v>
      </c>
      <c r="P162" s="33">
        <f t="shared" si="2"/>
        <v>0.95233356636968569</v>
      </c>
      <c r="Q162" s="36">
        <f t="shared" si="3"/>
        <v>7.077687794945863</v>
      </c>
    </row>
    <row r="163" spans="1:17" ht="13" x14ac:dyDescent="0.15">
      <c r="A163" s="56">
        <v>45854</v>
      </c>
      <c r="B163" s="16">
        <v>29</v>
      </c>
      <c r="C163" s="16">
        <v>21</v>
      </c>
      <c r="E163" s="39" t="s">
        <v>130</v>
      </c>
      <c r="F163" s="57">
        <v>4000</v>
      </c>
      <c r="G163" s="58">
        <v>2000</v>
      </c>
      <c r="H163" s="3">
        <v>3</v>
      </c>
      <c r="I163" s="16" t="s">
        <v>129</v>
      </c>
      <c r="J163" s="16">
        <v>3.76</v>
      </c>
      <c r="P163" s="33">
        <f t="shared" si="2"/>
        <v>0.91073266190291258</v>
      </c>
      <c r="Q163" s="36">
        <f t="shared" si="3"/>
        <v>7.4938020812972796</v>
      </c>
    </row>
    <row r="164" spans="1:17" ht="13" x14ac:dyDescent="0.15">
      <c r="A164" s="56">
        <v>45854</v>
      </c>
      <c r="B164" s="16">
        <v>29</v>
      </c>
      <c r="C164" s="16">
        <v>21</v>
      </c>
      <c r="E164" s="40" t="s">
        <v>131</v>
      </c>
      <c r="F164" s="59">
        <v>8000</v>
      </c>
      <c r="G164" s="60">
        <v>6000</v>
      </c>
      <c r="H164" s="3">
        <v>1</v>
      </c>
      <c r="I164" s="16" t="s">
        <v>129</v>
      </c>
      <c r="J164" s="16">
        <v>4.3899999999999997</v>
      </c>
      <c r="P164" s="33">
        <f t="shared" si="2"/>
        <v>0.76126884184880428</v>
      </c>
      <c r="Q164" s="36">
        <f t="shared" si="3"/>
        <v>4.4565449640354693</v>
      </c>
    </row>
    <row r="165" spans="1:17" ht="13" x14ac:dyDescent="0.15">
      <c r="A165" s="56">
        <v>45854</v>
      </c>
      <c r="B165" s="16">
        <v>29</v>
      </c>
      <c r="C165" s="16">
        <v>21</v>
      </c>
      <c r="E165" s="40" t="s">
        <v>131</v>
      </c>
      <c r="F165" s="59">
        <v>8000</v>
      </c>
      <c r="G165" s="60">
        <v>6000</v>
      </c>
      <c r="H165" s="3">
        <v>2</v>
      </c>
      <c r="I165" s="16" t="s">
        <v>129</v>
      </c>
      <c r="J165" s="16">
        <v>3.89</v>
      </c>
      <c r="P165" s="33">
        <f t="shared" si="2"/>
        <v>0.3415314996160127</v>
      </c>
      <c r="Q165" s="36">
        <f t="shared" si="3"/>
        <v>3.6350328907945091</v>
      </c>
    </row>
    <row r="166" spans="1:17" ht="13" x14ac:dyDescent="0.15">
      <c r="A166" s="56">
        <v>45854</v>
      </c>
      <c r="B166" s="16">
        <v>29</v>
      </c>
      <c r="C166" s="16">
        <v>21</v>
      </c>
      <c r="E166" s="40" t="s">
        <v>131</v>
      </c>
      <c r="F166" s="59">
        <v>8000</v>
      </c>
      <c r="G166" s="60">
        <v>6000</v>
      </c>
      <c r="H166" s="3">
        <v>3</v>
      </c>
      <c r="I166" s="16" t="s">
        <v>129</v>
      </c>
      <c r="J166" s="16">
        <v>3.69</v>
      </c>
      <c r="P166" s="33">
        <f t="shared" si="2"/>
        <v>0.59673966849750981</v>
      </c>
      <c r="Q166" s="36">
        <f t="shared" si="3"/>
        <v>3.9108845877247025</v>
      </c>
    </row>
    <row r="167" spans="1:17" ht="13" x14ac:dyDescent="0.15">
      <c r="A167" s="56">
        <v>45854</v>
      </c>
      <c r="B167" s="16">
        <v>29</v>
      </c>
      <c r="C167" s="16">
        <v>21</v>
      </c>
      <c r="E167" s="41" t="s">
        <v>132</v>
      </c>
      <c r="F167" s="61">
        <v>10000</v>
      </c>
      <c r="G167" s="61">
        <v>10000</v>
      </c>
      <c r="H167" s="3">
        <v>1</v>
      </c>
      <c r="I167" s="16" t="s">
        <v>129</v>
      </c>
      <c r="J167" s="16">
        <v>3.82</v>
      </c>
      <c r="P167" s="33">
        <f t="shared" si="2"/>
        <v>0.93357263826102388</v>
      </c>
      <c r="Q167" s="36">
        <f t="shared" si="3"/>
        <v>7.7213907304467977</v>
      </c>
    </row>
    <row r="168" spans="1:17" ht="13" x14ac:dyDescent="0.15">
      <c r="A168" s="56">
        <v>45854</v>
      </c>
      <c r="B168" s="16">
        <v>29</v>
      </c>
      <c r="C168" s="16">
        <v>21</v>
      </c>
      <c r="E168" s="41" t="s">
        <v>132</v>
      </c>
      <c r="F168" s="61">
        <v>10000</v>
      </c>
      <c r="G168" s="61">
        <v>10000</v>
      </c>
      <c r="H168" s="3">
        <v>2</v>
      </c>
      <c r="I168" s="16" t="s">
        <v>129</v>
      </c>
      <c r="J168" s="16">
        <v>3.88</v>
      </c>
      <c r="P168" s="33">
        <f t="shared" si="2"/>
        <v>0.95605665241240301</v>
      </c>
      <c r="Q168" s="36">
        <f t="shared" si="3"/>
        <v>8.2163713913148264</v>
      </c>
    </row>
    <row r="169" spans="1:17" ht="13" x14ac:dyDescent="0.15">
      <c r="A169" s="56">
        <v>45854</v>
      </c>
      <c r="B169" s="16">
        <v>29</v>
      </c>
      <c r="C169" s="16">
        <v>21</v>
      </c>
      <c r="E169" s="41" t="s">
        <v>132</v>
      </c>
      <c r="F169" s="61">
        <v>10000</v>
      </c>
      <c r="G169" s="61">
        <v>10000</v>
      </c>
      <c r="H169" s="3">
        <v>3</v>
      </c>
      <c r="I169" s="16" t="s">
        <v>129</v>
      </c>
      <c r="J169" s="16">
        <v>3.76</v>
      </c>
      <c r="P169" s="33">
        <f t="shared" si="2"/>
        <v>0.91073266190291258</v>
      </c>
      <c r="Q169" s="36">
        <f t="shared" si="3"/>
        <v>8.5644498965249038</v>
      </c>
    </row>
    <row r="170" spans="1:17" ht="13" x14ac:dyDescent="0.15">
      <c r="A170" s="56">
        <v>45854</v>
      </c>
      <c r="B170" s="16">
        <v>29</v>
      </c>
      <c r="C170" s="16">
        <v>21</v>
      </c>
      <c r="E170" s="42" t="s">
        <v>133</v>
      </c>
      <c r="F170" s="58">
        <v>2000</v>
      </c>
      <c r="G170" s="58">
        <v>2000</v>
      </c>
      <c r="H170" s="3">
        <v>1</v>
      </c>
      <c r="I170" s="16" t="s">
        <v>129</v>
      </c>
      <c r="J170" s="16">
        <v>7.66</v>
      </c>
      <c r="P170" s="33">
        <f t="shared" si="2"/>
        <v>1.2774198337478542</v>
      </c>
      <c r="Q170" s="36">
        <f t="shared" si="3"/>
        <v>6.8474779005402597</v>
      </c>
    </row>
    <row r="171" spans="1:17" ht="13" x14ac:dyDescent="0.15">
      <c r="A171" s="56">
        <v>45854</v>
      </c>
      <c r="B171" s="16">
        <v>29</v>
      </c>
      <c r="C171" s="16">
        <v>21</v>
      </c>
      <c r="E171" s="42" t="s">
        <v>133</v>
      </c>
      <c r="F171" s="58">
        <v>2000</v>
      </c>
      <c r="G171" s="58">
        <v>2000</v>
      </c>
      <c r="H171" s="3">
        <v>2</v>
      </c>
      <c r="I171" s="16" t="s">
        <v>129</v>
      </c>
      <c r="J171" s="16">
        <v>7.14</v>
      </c>
      <c r="P171" s="33">
        <f t="shared" si="2"/>
        <v>1.1851595151374725</v>
      </c>
      <c r="Q171" s="36">
        <f t="shared" si="3"/>
        <v>6.6830671937699702</v>
      </c>
    </row>
    <row r="172" spans="1:17" ht="13" x14ac:dyDescent="0.15">
      <c r="A172" s="56">
        <v>45854</v>
      </c>
      <c r="B172" s="16">
        <v>29</v>
      </c>
      <c r="C172" s="16">
        <v>21</v>
      </c>
      <c r="E172" s="42" t="s">
        <v>133</v>
      </c>
      <c r="F172" s="58">
        <v>2000</v>
      </c>
      <c r="G172" s="58">
        <v>2000</v>
      </c>
      <c r="H172" s="3">
        <v>3</v>
      </c>
      <c r="I172" s="16" t="s">
        <v>129</v>
      </c>
      <c r="J172" s="16">
        <v>5.75</v>
      </c>
      <c r="P172" s="33">
        <f t="shared" si="2"/>
        <v>1.4669784276906452</v>
      </c>
      <c r="Q172" s="36">
        <f t="shared" si="3"/>
        <v>7.6066783887795051</v>
      </c>
    </row>
    <row r="173" spans="1:17" ht="13" x14ac:dyDescent="0.15">
      <c r="A173" s="56">
        <v>45854</v>
      </c>
      <c r="B173" s="16">
        <v>29</v>
      </c>
      <c r="C173" s="16">
        <v>21</v>
      </c>
      <c r="E173" s="43" t="s">
        <v>135</v>
      </c>
      <c r="F173" s="62">
        <v>5000</v>
      </c>
      <c r="G173" s="62">
        <v>5000</v>
      </c>
      <c r="H173" s="3">
        <v>1</v>
      </c>
      <c r="I173" s="16" t="s">
        <v>129</v>
      </c>
      <c r="J173" s="16">
        <v>7</v>
      </c>
      <c r="P173" s="33">
        <f t="shared" si="2"/>
        <v>1.2963930027802248</v>
      </c>
      <c r="Q173" s="36">
        <f t="shared" si="3"/>
        <v>6.0174280727976504</v>
      </c>
    </row>
    <row r="174" spans="1:17" ht="13" x14ac:dyDescent="0.15">
      <c r="A174" s="56">
        <v>45854</v>
      </c>
      <c r="B174" s="16">
        <v>29</v>
      </c>
      <c r="C174" s="16">
        <v>21</v>
      </c>
      <c r="E174" s="43" t="s">
        <v>135</v>
      </c>
      <c r="F174" s="62">
        <v>5000</v>
      </c>
      <c r="G174" s="62">
        <v>5000</v>
      </c>
      <c r="H174" s="3">
        <v>2</v>
      </c>
      <c r="I174" s="16" t="s">
        <v>129</v>
      </c>
      <c r="J174" s="16">
        <v>7.14</v>
      </c>
      <c r="P174" s="33">
        <f t="shared" si="2"/>
        <v>1.3712558072509307</v>
      </c>
      <c r="Q174" s="36">
        <f t="shared" si="3"/>
        <v>6.5003210273345191</v>
      </c>
    </row>
    <row r="175" spans="1:17" ht="13" x14ac:dyDescent="0.15">
      <c r="A175" s="56">
        <v>45854</v>
      </c>
      <c r="B175" s="16">
        <v>29</v>
      </c>
      <c r="C175" s="16">
        <v>21</v>
      </c>
      <c r="E175" s="43" t="s">
        <v>135</v>
      </c>
      <c r="F175" s="62">
        <v>5000</v>
      </c>
      <c r="G175" s="62">
        <v>5000</v>
      </c>
      <c r="H175" s="3">
        <v>3</v>
      </c>
      <c r="I175" s="16" t="s">
        <v>129</v>
      </c>
      <c r="J175" s="16">
        <v>7.3</v>
      </c>
      <c r="P175" s="33">
        <f t="shared" si="2"/>
        <v>1.804393521686497</v>
      </c>
      <c r="Q175" s="36">
        <f t="shared" si="3"/>
        <v>6.6912450463362854</v>
      </c>
    </row>
    <row r="176" spans="1:17" ht="13" x14ac:dyDescent="0.15">
      <c r="A176" s="56">
        <v>45854</v>
      </c>
      <c r="B176" s="16">
        <v>29</v>
      </c>
      <c r="C176" s="16">
        <v>21</v>
      </c>
      <c r="E176" s="44" t="s">
        <v>136</v>
      </c>
      <c r="F176" s="63">
        <v>2500</v>
      </c>
      <c r="G176" s="63">
        <v>2500</v>
      </c>
      <c r="H176" s="3">
        <v>1</v>
      </c>
      <c r="I176" s="16" t="s">
        <v>129</v>
      </c>
      <c r="J176" s="16">
        <v>2.77</v>
      </c>
      <c r="P176" s="33">
        <f t="shared" si="2"/>
        <v>0.29356320363400062</v>
      </c>
      <c r="Q176" s="36">
        <f t="shared" si="3"/>
        <v>3.2321922652773454</v>
      </c>
    </row>
    <row r="177" spans="1:17" ht="13" x14ac:dyDescent="0.15">
      <c r="A177" s="56">
        <v>45854</v>
      </c>
      <c r="B177" s="16">
        <v>29</v>
      </c>
      <c r="C177" s="16">
        <v>21</v>
      </c>
      <c r="E177" s="44" t="s">
        <v>136</v>
      </c>
      <c r="F177" s="63">
        <v>2500</v>
      </c>
      <c r="G177" s="63">
        <v>2500</v>
      </c>
      <c r="H177" s="3">
        <v>2</v>
      </c>
      <c r="I177" s="16" t="s">
        <v>129</v>
      </c>
      <c r="J177" s="16">
        <v>2.65</v>
      </c>
      <c r="P177" s="33">
        <f t="shared" si="2"/>
        <v>0.93090747672705421</v>
      </c>
      <c r="Q177" s="36">
        <f t="shared" si="3"/>
        <v>3.2521747380945345</v>
      </c>
    </row>
    <row r="178" spans="1:17" ht="13" x14ac:dyDescent="0.15">
      <c r="A178" s="56">
        <v>45854</v>
      </c>
      <c r="B178" s="46">
        <v>29</v>
      </c>
      <c r="C178" s="46">
        <v>21</v>
      </c>
      <c r="D178" s="46"/>
      <c r="E178" s="47" t="s">
        <v>136</v>
      </c>
      <c r="F178" s="63">
        <v>2500</v>
      </c>
      <c r="G178" s="63">
        <v>2500</v>
      </c>
      <c r="H178" s="3">
        <v>3</v>
      </c>
      <c r="I178" s="16" t="s">
        <v>129</v>
      </c>
      <c r="J178" s="46">
        <v>3.18</v>
      </c>
      <c r="K178" s="46"/>
      <c r="L178" s="46"/>
      <c r="M178" s="46"/>
      <c r="N178" s="46"/>
      <c r="O178" s="46"/>
      <c r="P178" s="33">
        <f t="shared" si="2"/>
        <v>0.97303295239973076</v>
      </c>
      <c r="Q178" s="36">
        <f t="shared" si="3"/>
        <v>3.3065268869881104</v>
      </c>
    </row>
  </sheetData>
  <conditionalFormatting sqref="A1:A4 O1:O4 B1:C7 I1:K7 N1:N10 D1:G13 L1:L23 M1:M61 H1:H178 K11:K31 L25:L61 D32:G34 R32:R34 E53:G55 R53:R55 E74:G76 R74:R76 L77:M79 L89:M91 E95:G97 R95:R97 K98:K109 E116:G118 E137:G139 E158:E160">
    <cfRule type="cellIs" dxfId="29" priority="1" operator="equal">
      <formula>"N/A"</formula>
    </cfRule>
  </conditionalFormatting>
  <conditionalFormatting sqref="E1:E13 E32:E34 R32:R34 E53:E55 R53:R55 E74:E76 R74:R76 E95:E97 R95:R97 E116:E118 E137:E139 E158:E160">
    <cfRule type="cellIs" dxfId="28" priority="6" operator="equal">
      <formula>"KI-CDK9d-32"</formula>
    </cfRule>
    <cfRule type="cellIs" dxfId="27" priority="7" operator="equal">
      <formula>"KI-CDK9d-32N"</formula>
    </cfRule>
    <cfRule type="cellIs" dxfId="26" priority="8" operator="equal">
      <formula>"KB-0742"</formula>
    </cfRule>
    <cfRule type="cellIs" dxfId="25" priority="9" operator="equal">
      <formula>"SY-5609"</formula>
    </cfRule>
    <cfRule type="cellIs" dxfId="24" priority="10" operator="equal">
      <formula>"Senexin B"</formula>
    </cfRule>
    <cfRule type="cellIs" dxfId="23" priority="11" operator="equal">
      <formula>"SEL120"</formula>
    </cfRule>
    <cfRule type="cellIs" dxfId="22" priority="13" operator="equal">
      <formula>"NONE"</formula>
    </cfRule>
  </conditionalFormatting>
  <conditionalFormatting sqref="E1:E178 R32:R115">
    <cfRule type="cellIs" dxfId="21" priority="12" operator="equal">
      <formula>"DMSO"</formula>
    </cfRule>
    <cfRule type="cellIs" dxfId="20" priority="14" operator="equal">
      <formula>"BSJ-4-116"</formula>
    </cfRule>
    <cfRule type="cellIs" dxfId="19" priority="15" operator="equal">
      <formula>"CDK12-IN-2"</formula>
    </cfRule>
    <cfRule type="cellIs" dxfId="18" priority="16" operator="equal">
      <formula>"HQ461"</formula>
    </cfRule>
  </conditionalFormatting>
  <conditionalFormatting sqref="F1:F157 G14:G31 G35:G52 G56:G73 G77:G94 G98:G115 G119:G136 G140:G157">
    <cfRule type="colorScale" priority="17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157">
    <cfRule type="colorScale" priority="18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178">
    <cfRule type="cellIs" dxfId="17" priority="2" operator="equal">
      <formula>1</formula>
    </cfRule>
    <cfRule type="cellIs" dxfId="16" priority="3" operator="equal">
      <formula>2</formula>
    </cfRule>
    <cfRule type="cellIs" dxfId="15" priority="4" operator="equal">
      <formula>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78"/>
  <sheetViews>
    <sheetView tabSelected="1" topLeftCell="C154" zoomScale="150" workbookViewId="0"/>
  </sheetViews>
  <sheetFormatPr baseColWidth="10" defaultColWidth="12.6640625" defaultRowHeight="15.75" customHeight="1" x14ac:dyDescent="0.15"/>
  <cols>
    <col min="4" max="4" width="19.6640625" customWidth="1"/>
    <col min="15" max="15" width="31.1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6" t="s">
        <v>47</v>
      </c>
      <c r="Q1" s="16" t="s">
        <v>48</v>
      </c>
    </row>
    <row r="2" spans="1:17" ht="15.75" customHeight="1" x14ac:dyDescent="0.15">
      <c r="A2" s="2">
        <v>45826</v>
      </c>
      <c r="B2" s="3">
        <v>0</v>
      </c>
      <c r="C2" s="3"/>
      <c r="D2" s="3" t="s">
        <v>15</v>
      </c>
      <c r="E2" s="3" t="s">
        <v>16</v>
      </c>
      <c r="F2" s="3" t="s">
        <v>17</v>
      </c>
      <c r="G2" s="3" t="s">
        <v>17</v>
      </c>
      <c r="H2" s="3">
        <v>1</v>
      </c>
      <c r="I2" s="3" t="s">
        <v>137</v>
      </c>
      <c r="J2" s="3">
        <v>24</v>
      </c>
      <c r="K2" s="3" t="s">
        <v>17</v>
      </c>
      <c r="L2" s="3" t="s">
        <v>17</v>
      </c>
      <c r="M2" s="3" t="s">
        <v>17</v>
      </c>
      <c r="N2" s="3" t="s">
        <v>138</v>
      </c>
      <c r="O2" s="3" t="s">
        <v>91</v>
      </c>
    </row>
    <row r="3" spans="1:17" ht="15.75" customHeight="1" x14ac:dyDescent="0.15">
      <c r="A3" s="2">
        <v>45826</v>
      </c>
      <c r="B3" s="3">
        <v>0</v>
      </c>
      <c r="C3" s="3"/>
      <c r="D3" s="3" t="s">
        <v>15</v>
      </c>
      <c r="E3" s="3" t="s">
        <v>16</v>
      </c>
      <c r="F3" s="3" t="s">
        <v>17</v>
      </c>
      <c r="G3" s="3" t="s">
        <v>17</v>
      </c>
      <c r="H3" s="3">
        <v>2</v>
      </c>
      <c r="I3" s="3" t="s">
        <v>139</v>
      </c>
      <c r="J3" s="3">
        <v>24</v>
      </c>
      <c r="K3" s="3" t="s">
        <v>17</v>
      </c>
      <c r="L3" s="3" t="s">
        <v>17</v>
      </c>
      <c r="M3" s="3" t="s">
        <v>17</v>
      </c>
      <c r="N3" s="3" t="s">
        <v>138</v>
      </c>
      <c r="O3" s="3" t="s">
        <v>92</v>
      </c>
    </row>
    <row r="4" spans="1:17" ht="15.75" customHeight="1" x14ac:dyDescent="0.15">
      <c r="A4" s="2">
        <v>45826</v>
      </c>
      <c r="B4" s="3">
        <v>0</v>
      </c>
      <c r="C4" s="3"/>
      <c r="D4" s="3" t="s">
        <v>15</v>
      </c>
      <c r="E4" s="3" t="s">
        <v>16</v>
      </c>
      <c r="F4" s="3" t="s">
        <v>17</v>
      </c>
      <c r="G4" s="3" t="s">
        <v>17</v>
      </c>
      <c r="H4" s="3">
        <v>3</v>
      </c>
      <c r="I4" s="3" t="s">
        <v>140</v>
      </c>
      <c r="J4" s="3">
        <v>24</v>
      </c>
      <c r="K4" s="3" t="s">
        <v>17</v>
      </c>
      <c r="L4" s="3" t="s">
        <v>17</v>
      </c>
      <c r="M4" s="3" t="s">
        <v>17</v>
      </c>
      <c r="N4" s="3" t="s">
        <v>138</v>
      </c>
      <c r="O4" s="21" t="s">
        <v>93</v>
      </c>
    </row>
    <row r="5" spans="1:17" ht="15.75" customHeight="1" x14ac:dyDescent="0.15">
      <c r="A5" s="19">
        <v>45826</v>
      </c>
      <c r="B5" s="3">
        <v>1</v>
      </c>
      <c r="C5" s="3"/>
      <c r="D5" s="3" t="s">
        <v>19</v>
      </c>
      <c r="E5" s="3" t="s">
        <v>16</v>
      </c>
      <c r="F5" s="3" t="s">
        <v>17</v>
      </c>
      <c r="G5" s="3" t="s">
        <v>17</v>
      </c>
      <c r="H5" s="3">
        <v>1</v>
      </c>
      <c r="I5" s="3" t="s">
        <v>141</v>
      </c>
      <c r="J5" s="3">
        <v>97</v>
      </c>
      <c r="K5" s="3"/>
      <c r="L5" s="3"/>
      <c r="M5" s="3"/>
      <c r="N5" s="3"/>
      <c r="O5" s="3"/>
    </row>
    <row r="6" spans="1:17" ht="15.75" customHeight="1" x14ac:dyDescent="0.15">
      <c r="A6" s="19">
        <v>45826</v>
      </c>
      <c r="B6" s="3">
        <v>1</v>
      </c>
      <c r="C6" s="3"/>
      <c r="D6" s="3" t="s">
        <v>19</v>
      </c>
      <c r="E6" s="3" t="s">
        <v>16</v>
      </c>
      <c r="F6" s="3" t="s">
        <v>17</v>
      </c>
      <c r="G6" s="3" t="s">
        <v>17</v>
      </c>
      <c r="H6" s="3">
        <v>2</v>
      </c>
      <c r="I6" s="3" t="s">
        <v>141</v>
      </c>
      <c r="J6" s="3">
        <v>97</v>
      </c>
      <c r="K6" s="3"/>
      <c r="L6" s="3"/>
      <c r="M6" s="3"/>
      <c r="N6" s="3"/>
      <c r="O6" s="3"/>
    </row>
    <row r="7" spans="1:17" ht="15.75" customHeight="1" x14ac:dyDescent="0.15">
      <c r="A7" s="19">
        <v>45826</v>
      </c>
      <c r="B7" s="3">
        <v>1</v>
      </c>
      <c r="C7" s="3"/>
      <c r="D7" s="3" t="s">
        <v>19</v>
      </c>
      <c r="E7" s="3" t="s">
        <v>16</v>
      </c>
      <c r="F7" s="3" t="s">
        <v>17</v>
      </c>
      <c r="G7" s="3" t="s">
        <v>17</v>
      </c>
      <c r="H7" s="3">
        <v>3</v>
      </c>
      <c r="I7" s="3" t="s">
        <v>141</v>
      </c>
      <c r="J7" s="3">
        <v>97</v>
      </c>
      <c r="K7" s="3"/>
      <c r="L7" s="3"/>
      <c r="M7" s="3"/>
      <c r="N7" s="3"/>
      <c r="O7" s="3"/>
    </row>
    <row r="8" spans="1:17" ht="15.75" customHeight="1" x14ac:dyDescent="0.15">
      <c r="A8" s="19">
        <v>45833</v>
      </c>
      <c r="B8" s="16">
        <v>7</v>
      </c>
      <c r="D8" s="3" t="s">
        <v>19</v>
      </c>
      <c r="E8" s="3" t="s">
        <v>16</v>
      </c>
      <c r="F8" s="3" t="s">
        <v>17</v>
      </c>
      <c r="G8" s="3" t="s">
        <v>17</v>
      </c>
      <c r="H8" s="3">
        <v>1</v>
      </c>
      <c r="I8" s="3" t="s">
        <v>141</v>
      </c>
      <c r="O8" s="3"/>
    </row>
    <row r="9" spans="1:17" ht="15.75" customHeight="1" x14ac:dyDescent="0.15">
      <c r="A9" s="19">
        <v>45833</v>
      </c>
      <c r="B9" s="16">
        <v>7</v>
      </c>
      <c r="D9" s="3" t="s">
        <v>19</v>
      </c>
      <c r="E9" s="3" t="s">
        <v>16</v>
      </c>
      <c r="F9" s="3" t="s">
        <v>17</v>
      </c>
      <c r="G9" s="3" t="s">
        <v>17</v>
      </c>
      <c r="H9" s="3">
        <v>2</v>
      </c>
      <c r="I9" s="3" t="s">
        <v>141</v>
      </c>
      <c r="O9" s="3"/>
    </row>
    <row r="10" spans="1:17" ht="15.75" customHeight="1" x14ac:dyDescent="0.15">
      <c r="A10" s="19">
        <v>45833</v>
      </c>
      <c r="B10" s="16">
        <v>7</v>
      </c>
      <c r="D10" s="3" t="s">
        <v>19</v>
      </c>
      <c r="E10" s="3" t="s">
        <v>16</v>
      </c>
      <c r="F10" s="3" t="s">
        <v>17</v>
      </c>
      <c r="G10" s="3" t="s">
        <v>17</v>
      </c>
      <c r="H10" s="3">
        <v>3</v>
      </c>
      <c r="I10" s="3" t="s">
        <v>141</v>
      </c>
      <c r="O10" s="3"/>
    </row>
    <row r="11" spans="1:17" ht="15.75" customHeight="1" x14ac:dyDescent="0.15">
      <c r="A11" s="19">
        <v>45834</v>
      </c>
      <c r="B11" s="16">
        <v>8</v>
      </c>
      <c r="C11" s="16">
        <v>0</v>
      </c>
      <c r="E11" s="16" t="s">
        <v>32</v>
      </c>
      <c r="F11" s="22">
        <v>2.2499999999999999E-4</v>
      </c>
      <c r="G11" s="22">
        <v>2.2499999999999999E-4</v>
      </c>
      <c r="H11" s="3">
        <v>1</v>
      </c>
      <c r="I11" s="16" t="s">
        <v>129</v>
      </c>
      <c r="J11" s="16">
        <v>2</v>
      </c>
      <c r="K11" s="3"/>
      <c r="L11" s="3"/>
      <c r="M11" s="3"/>
      <c r="O11" s="3"/>
      <c r="P11" s="33">
        <v>0</v>
      </c>
      <c r="Q11" s="36">
        <v>0</v>
      </c>
    </row>
    <row r="12" spans="1:17" ht="15.75" customHeight="1" x14ac:dyDescent="0.15">
      <c r="A12" s="19">
        <v>45834</v>
      </c>
      <c r="B12" s="16">
        <v>8</v>
      </c>
      <c r="C12" s="16">
        <v>0</v>
      </c>
      <c r="E12" s="16" t="s">
        <v>32</v>
      </c>
      <c r="F12" s="22">
        <v>2.2499999999999999E-4</v>
      </c>
      <c r="G12" s="22">
        <v>2.2499999999999999E-4</v>
      </c>
      <c r="H12" s="3">
        <v>2</v>
      </c>
      <c r="I12" s="16" t="s">
        <v>129</v>
      </c>
      <c r="J12" s="16">
        <v>2</v>
      </c>
      <c r="K12" s="3"/>
      <c r="L12" s="3"/>
      <c r="M12" s="3"/>
      <c r="O12" s="3"/>
      <c r="P12" s="16">
        <v>0</v>
      </c>
      <c r="Q12" s="38">
        <v>0</v>
      </c>
    </row>
    <row r="13" spans="1:17" ht="15.75" customHeight="1" x14ac:dyDescent="0.15">
      <c r="A13" s="19">
        <v>45834</v>
      </c>
      <c r="B13" s="16">
        <v>8</v>
      </c>
      <c r="C13" s="16">
        <v>0</v>
      </c>
      <c r="E13" s="16" t="s">
        <v>32</v>
      </c>
      <c r="F13" s="22">
        <v>2.2499999999999999E-4</v>
      </c>
      <c r="G13" s="22">
        <v>2.2499999999999999E-4</v>
      </c>
      <c r="H13" s="3">
        <v>3</v>
      </c>
      <c r="I13" s="16" t="s">
        <v>129</v>
      </c>
      <c r="J13" s="16">
        <v>2</v>
      </c>
      <c r="K13" s="3"/>
      <c r="L13" s="3"/>
      <c r="M13" s="3"/>
      <c r="O13" s="3"/>
      <c r="P13" s="16">
        <v>0</v>
      </c>
      <c r="Q13" s="38">
        <v>0</v>
      </c>
    </row>
    <row r="14" spans="1:17" ht="15.75" customHeight="1" x14ac:dyDescent="0.15">
      <c r="A14" s="19">
        <v>45834</v>
      </c>
      <c r="B14" s="16">
        <v>8</v>
      </c>
      <c r="C14" s="16">
        <v>0</v>
      </c>
      <c r="E14" s="39" t="s">
        <v>130</v>
      </c>
      <c r="H14" s="3">
        <v>1</v>
      </c>
      <c r="I14" s="16" t="s">
        <v>129</v>
      </c>
      <c r="J14" s="16">
        <v>2</v>
      </c>
      <c r="K14" s="3"/>
      <c r="L14" s="3"/>
      <c r="M14" s="3"/>
      <c r="O14" s="3"/>
      <c r="P14" s="16">
        <v>0</v>
      </c>
      <c r="Q14" s="38">
        <v>0</v>
      </c>
    </row>
    <row r="15" spans="1:17" ht="15.75" customHeight="1" x14ac:dyDescent="0.15">
      <c r="A15" s="19">
        <v>45834</v>
      </c>
      <c r="B15" s="16">
        <v>8</v>
      </c>
      <c r="C15" s="16">
        <v>0</v>
      </c>
      <c r="E15" s="39" t="s">
        <v>130</v>
      </c>
      <c r="H15" s="3">
        <v>2</v>
      </c>
      <c r="I15" s="16" t="s">
        <v>129</v>
      </c>
      <c r="J15" s="16">
        <v>2</v>
      </c>
      <c r="K15" s="3"/>
      <c r="L15" s="3"/>
      <c r="M15" s="3"/>
      <c r="O15" s="3"/>
      <c r="P15" s="16">
        <v>0</v>
      </c>
      <c r="Q15" s="38">
        <v>0</v>
      </c>
    </row>
    <row r="16" spans="1:17" ht="15.75" customHeight="1" x14ac:dyDescent="0.15">
      <c r="A16" s="19">
        <v>45834</v>
      </c>
      <c r="B16" s="16">
        <v>8</v>
      </c>
      <c r="C16" s="16">
        <v>0</v>
      </c>
      <c r="E16" s="39" t="s">
        <v>130</v>
      </c>
      <c r="H16" s="3">
        <v>3</v>
      </c>
      <c r="I16" s="16" t="s">
        <v>129</v>
      </c>
      <c r="J16" s="16">
        <v>2</v>
      </c>
      <c r="K16" s="3"/>
      <c r="L16" s="3"/>
      <c r="M16" s="3"/>
      <c r="O16" s="3"/>
      <c r="P16" s="16">
        <v>0</v>
      </c>
      <c r="Q16" s="38">
        <v>0</v>
      </c>
    </row>
    <row r="17" spans="1:26" ht="15.75" customHeight="1" x14ac:dyDescent="0.15">
      <c r="A17" s="19">
        <v>45834</v>
      </c>
      <c r="B17" s="16">
        <v>8</v>
      </c>
      <c r="C17" s="16">
        <v>0</v>
      </c>
      <c r="E17" s="40" t="s">
        <v>131</v>
      </c>
      <c r="H17" s="3">
        <v>1</v>
      </c>
      <c r="I17" s="16" t="s">
        <v>129</v>
      </c>
      <c r="J17" s="16">
        <v>2</v>
      </c>
      <c r="K17" s="3"/>
      <c r="L17" s="3"/>
      <c r="M17" s="3"/>
      <c r="O17" s="3"/>
      <c r="P17" s="16">
        <v>0</v>
      </c>
      <c r="Q17" s="38">
        <v>0</v>
      </c>
    </row>
    <row r="18" spans="1:26" ht="15.75" customHeight="1" x14ac:dyDescent="0.15">
      <c r="A18" s="19">
        <v>45834</v>
      </c>
      <c r="B18" s="16">
        <v>8</v>
      </c>
      <c r="C18" s="16">
        <v>0</v>
      </c>
      <c r="E18" s="40" t="s">
        <v>131</v>
      </c>
      <c r="H18" s="3">
        <v>2</v>
      </c>
      <c r="I18" s="16" t="s">
        <v>129</v>
      </c>
      <c r="J18" s="16">
        <v>2</v>
      </c>
      <c r="K18" s="3"/>
      <c r="L18" s="3"/>
      <c r="M18" s="3"/>
      <c r="O18" s="3"/>
      <c r="P18" s="16">
        <v>0</v>
      </c>
      <c r="Q18" s="38">
        <v>0</v>
      </c>
    </row>
    <row r="19" spans="1:26" ht="15.75" customHeight="1" x14ac:dyDescent="0.15">
      <c r="A19" s="19">
        <v>45834</v>
      </c>
      <c r="B19" s="16">
        <v>8</v>
      </c>
      <c r="C19" s="16">
        <v>0</v>
      </c>
      <c r="E19" s="40" t="s">
        <v>131</v>
      </c>
      <c r="H19" s="3">
        <v>3</v>
      </c>
      <c r="I19" s="16" t="s">
        <v>129</v>
      </c>
      <c r="J19" s="16">
        <v>2</v>
      </c>
      <c r="K19" s="3"/>
      <c r="L19" s="3"/>
      <c r="M19" s="3"/>
      <c r="O19" s="3"/>
      <c r="P19" s="16">
        <v>0</v>
      </c>
      <c r="Q19" s="38">
        <v>0</v>
      </c>
    </row>
    <row r="20" spans="1:26" ht="15.75" customHeight="1" x14ac:dyDescent="0.15">
      <c r="A20" s="19">
        <v>45834</v>
      </c>
      <c r="B20" s="16">
        <v>8</v>
      </c>
      <c r="C20" s="16">
        <v>0</v>
      </c>
      <c r="E20" s="41" t="s">
        <v>132</v>
      </c>
      <c r="H20" s="3">
        <v>1</v>
      </c>
      <c r="I20" s="16" t="s">
        <v>129</v>
      </c>
      <c r="J20" s="16">
        <v>2</v>
      </c>
      <c r="K20" s="3"/>
      <c r="L20" s="3"/>
      <c r="M20" s="3"/>
      <c r="O20" s="3"/>
      <c r="P20" s="16">
        <v>0</v>
      </c>
      <c r="Q20" s="38">
        <v>0</v>
      </c>
    </row>
    <row r="21" spans="1:26" ht="15.75" customHeight="1" x14ac:dyDescent="0.15">
      <c r="A21" s="19">
        <v>45834</v>
      </c>
      <c r="B21" s="16">
        <v>8</v>
      </c>
      <c r="C21" s="16">
        <v>0</v>
      </c>
      <c r="E21" s="41" t="s">
        <v>132</v>
      </c>
      <c r="H21" s="3">
        <v>2</v>
      </c>
      <c r="I21" s="16" t="s">
        <v>129</v>
      </c>
      <c r="J21" s="16">
        <v>2</v>
      </c>
      <c r="K21" s="3"/>
      <c r="L21" s="3"/>
      <c r="M21" s="3"/>
      <c r="O21" s="3"/>
      <c r="P21" s="16">
        <v>0</v>
      </c>
      <c r="Q21" s="38">
        <v>0</v>
      </c>
    </row>
    <row r="22" spans="1:26" ht="15.75" customHeight="1" x14ac:dyDescent="0.15">
      <c r="A22" s="19">
        <v>45834</v>
      </c>
      <c r="B22" s="16">
        <v>8</v>
      </c>
      <c r="C22" s="16">
        <v>0</v>
      </c>
      <c r="E22" s="41" t="s">
        <v>132</v>
      </c>
      <c r="H22" s="3">
        <v>3</v>
      </c>
      <c r="I22" s="16" t="s">
        <v>129</v>
      </c>
      <c r="J22" s="16">
        <v>2</v>
      </c>
      <c r="K22" s="3"/>
      <c r="L22" s="3"/>
      <c r="M22" s="3"/>
      <c r="O22" s="3"/>
      <c r="P22" s="16">
        <v>0</v>
      </c>
      <c r="Q22" s="38">
        <v>0</v>
      </c>
    </row>
    <row r="23" spans="1:26" ht="15.75" customHeight="1" x14ac:dyDescent="0.15">
      <c r="A23" s="19">
        <v>45834</v>
      </c>
      <c r="B23" s="16">
        <v>8</v>
      </c>
      <c r="C23" s="16">
        <v>0</v>
      </c>
      <c r="E23" s="42" t="s">
        <v>133</v>
      </c>
      <c r="F23" s="22"/>
      <c r="G23" s="22"/>
      <c r="H23" s="3">
        <v>1</v>
      </c>
      <c r="I23" s="16" t="s">
        <v>129</v>
      </c>
      <c r="J23" s="16">
        <v>2</v>
      </c>
      <c r="L23" s="3"/>
      <c r="M23" s="3"/>
      <c r="O23" s="3"/>
      <c r="P23" s="16">
        <v>0</v>
      </c>
      <c r="Q23" s="38">
        <v>0</v>
      </c>
    </row>
    <row r="24" spans="1:26" ht="15.75" customHeight="1" x14ac:dyDescent="0.15">
      <c r="A24" s="19">
        <v>45834</v>
      </c>
      <c r="B24" s="16">
        <v>8</v>
      </c>
      <c r="C24" s="16">
        <v>0</v>
      </c>
      <c r="E24" s="42" t="s">
        <v>133</v>
      </c>
      <c r="F24" s="22"/>
      <c r="G24" s="22"/>
      <c r="H24" s="3">
        <v>2</v>
      </c>
      <c r="I24" s="16" t="s">
        <v>129</v>
      </c>
      <c r="J24" s="16">
        <v>2</v>
      </c>
      <c r="L24" s="3"/>
      <c r="M24" s="3"/>
      <c r="O24" s="3"/>
      <c r="P24" s="16">
        <v>0</v>
      </c>
      <c r="Q24" s="38">
        <v>0</v>
      </c>
      <c r="S24" s="16" t="s">
        <v>103</v>
      </c>
    </row>
    <row r="25" spans="1:26" ht="15.75" customHeight="1" x14ac:dyDescent="0.15">
      <c r="A25" s="19">
        <v>45834</v>
      </c>
      <c r="B25" s="16">
        <v>8</v>
      </c>
      <c r="C25" s="16">
        <v>0</v>
      </c>
      <c r="E25" s="42" t="s">
        <v>133</v>
      </c>
      <c r="F25" s="22"/>
      <c r="G25" s="22"/>
      <c r="H25" s="3">
        <v>3</v>
      </c>
      <c r="I25" s="16" t="s">
        <v>129</v>
      </c>
      <c r="J25" s="16">
        <v>2</v>
      </c>
      <c r="L25" s="3"/>
      <c r="M25" s="3"/>
      <c r="O25" s="3"/>
      <c r="P25" s="16">
        <v>0</v>
      </c>
      <c r="Q25" s="38">
        <v>0</v>
      </c>
      <c r="S25" s="24" t="s">
        <v>55</v>
      </c>
      <c r="T25" s="25" t="s">
        <v>134</v>
      </c>
      <c r="U25" s="25" t="s">
        <v>123</v>
      </c>
      <c r="V25" s="25" t="s">
        <v>124</v>
      </c>
      <c r="W25" s="25" t="s">
        <v>125</v>
      </c>
      <c r="X25" s="25" t="s">
        <v>126</v>
      </c>
      <c r="Y25" s="25" t="s">
        <v>127</v>
      </c>
      <c r="Z25" s="26" t="s">
        <v>128</v>
      </c>
    </row>
    <row r="26" spans="1:26" ht="15.75" customHeight="1" x14ac:dyDescent="0.15">
      <c r="A26" s="19">
        <v>45834</v>
      </c>
      <c r="B26" s="16">
        <v>8</v>
      </c>
      <c r="C26" s="16">
        <v>0</v>
      </c>
      <c r="E26" s="43" t="s">
        <v>135</v>
      </c>
      <c r="H26" s="3">
        <v>1</v>
      </c>
      <c r="I26" s="16" t="s">
        <v>129</v>
      </c>
      <c r="J26" s="16">
        <v>2</v>
      </c>
      <c r="L26" s="3"/>
      <c r="M26" s="3"/>
      <c r="O26" s="3"/>
      <c r="P26" s="16">
        <v>0</v>
      </c>
      <c r="Q26" s="38">
        <v>0</v>
      </c>
      <c r="S26" s="27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28">
        <v>0</v>
      </c>
    </row>
    <row r="27" spans="1:26" ht="15.75" customHeight="1" x14ac:dyDescent="0.15">
      <c r="A27" s="19">
        <v>45834</v>
      </c>
      <c r="B27" s="16">
        <v>8</v>
      </c>
      <c r="C27" s="16">
        <v>0</v>
      </c>
      <c r="E27" s="43" t="s">
        <v>135</v>
      </c>
      <c r="H27" s="3">
        <v>2</v>
      </c>
      <c r="I27" s="16" t="s">
        <v>129</v>
      </c>
      <c r="J27" s="16">
        <v>2</v>
      </c>
      <c r="L27" s="3"/>
      <c r="M27" s="3"/>
      <c r="O27" s="3"/>
      <c r="P27" s="16">
        <v>0</v>
      </c>
      <c r="Q27" s="38">
        <v>0</v>
      </c>
      <c r="S27" s="27">
        <v>3</v>
      </c>
      <c r="T27" s="16">
        <f>AVERAGE(Q32:Q34)</f>
        <v>2.4001569195406653</v>
      </c>
      <c r="U27" s="16">
        <f>AVERAGE(Q35:Q37)</f>
        <v>1.2140216414978025</v>
      </c>
      <c r="V27" s="16">
        <f>AVERAGE(Q38:Q40)</f>
        <v>0.71876300305079532</v>
      </c>
      <c r="W27" s="16">
        <f>AVERAGE(Q41:Q43)</f>
        <v>1.5991501021075416</v>
      </c>
      <c r="X27" s="16">
        <f>AVERAGE(Q44:Q46)</f>
        <v>0.13424545454695078</v>
      </c>
      <c r="Y27" s="16">
        <f>AVERAGE(Q47:Q49)</f>
        <v>1.0820469798992416</v>
      </c>
      <c r="Z27" s="28">
        <f>AVERAGE(Q50:Q52)</f>
        <v>-0.40468705168391961</v>
      </c>
    </row>
    <row r="28" spans="1:26" ht="15.75" customHeight="1" x14ac:dyDescent="0.15">
      <c r="A28" s="19">
        <v>45834</v>
      </c>
      <c r="B28" s="16">
        <v>8</v>
      </c>
      <c r="C28" s="16">
        <v>0</v>
      </c>
      <c r="E28" s="43" t="s">
        <v>135</v>
      </c>
      <c r="H28" s="3">
        <v>3</v>
      </c>
      <c r="I28" s="16" t="s">
        <v>129</v>
      </c>
      <c r="J28" s="16">
        <v>2</v>
      </c>
      <c r="L28" s="3"/>
      <c r="M28" s="3"/>
      <c r="O28" s="3"/>
      <c r="P28" s="16">
        <v>0</v>
      </c>
      <c r="Q28" s="38">
        <v>0</v>
      </c>
      <c r="S28" s="27">
        <v>6</v>
      </c>
      <c r="T28" s="16">
        <f>AVERAGE(Q53:Q55)</f>
        <v>4.8483189929178865</v>
      </c>
      <c r="U28" s="16">
        <f>AVERAGE(Q56:Q58)</f>
        <v>1.8004643112596621</v>
      </c>
      <c r="V28" s="16">
        <f>AVERAGE(Q59:Q61)</f>
        <v>1.7560138295949281</v>
      </c>
      <c r="W28" s="16">
        <f>AVERAGE(Q62:Q64)</f>
        <v>2.9076784550421397</v>
      </c>
      <c r="X28" s="16">
        <f>AVERAGE(Q65:Q67)</f>
        <v>0.16821283986465715</v>
      </c>
      <c r="Y28" s="16">
        <f>AVERAGE(Q68:Q70)</f>
        <v>1.067870321266353</v>
      </c>
      <c r="Z28" s="28">
        <f>AVERAGE(Q71:Q73)</f>
        <v>0.21572214428273692</v>
      </c>
    </row>
    <row r="29" spans="1:26" ht="15.75" customHeight="1" x14ac:dyDescent="0.15">
      <c r="A29" s="19">
        <v>45834</v>
      </c>
      <c r="B29" s="16">
        <v>8</v>
      </c>
      <c r="C29" s="16">
        <v>0</v>
      </c>
      <c r="E29" s="44" t="s">
        <v>136</v>
      </c>
      <c r="H29" s="3">
        <v>1</v>
      </c>
      <c r="I29" s="16" t="s">
        <v>129</v>
      </c>
      <c r="J29" s="16">
        <v>2</v>
      </c>
      <c r="L29" s="3"/>
      <c r="M29" s="3"/>
      <c r="O29" s="3"/>
      <c r="P29" s="16">
        <v>0</v>
      </c>
      <c r="Q29" s="38">
        <v>0</v>
      </c>
      <c r="S29" s="27">
        <v>9</v>
      </c>
      <c r="T29" s="16">
        <f>AVERAGE(Q74:Q76)</f>
        <v>7.5221455687213705</v>
      </c>
      <c r="U29" s="16">
        <f>AVERAGE(Q77:Q79)</f>
        <v>2.6866218926002419</v>
      </c>
      <c r="V29" s="16">
        <f>AVERAGE(Q80:Q82)</f>
        <v>1.5818169494503789</v>
      </c>
      <c r="W29" s="16">
        <f>AVERAGE(Q83:Q85)</f>
        <v>3.7988191166352769</v>
      </c>
      <c r="X29" s="16">
        <f>AVERAGE(Q86:Q88)</f>
        <v>0.58630419259512101</v>
      </c>
      <c r="Y29" s="16">
        <f>AVERAGE(Q89:Q91)</f>
        <v>1.3170212652909754</v>
      </c>
      <c r="Z29" s="28">
        <f>AVERAGE(Q92:Q94)</f>
        <v>0.84122591900602439</v>
      </c>
    </row>
    <row r="30" spans="1:26" ht="15.75" customHeight="1" x14ac:dyDescent="0.15">
      <c r="A30" s="19">
        <v>45834</v>
      </c>
      <c r="B30" s="16">
        <v>8</v>
      </c>
      <c r="C30" s="16">
        <v>0</v>
      </c>
      <c r="E30" s="44" t="s">
        <v>136</v>
      </c>
      <c r="H30" s="3">
        <v>2</v>
      </c>
      <c r="I30" s="16" t="s">
        <v>129</v>
      </c>
      <c r="J30" s="16">
        <v>2</v>
      </c>
      <c r="L30" s="3"/>
      <c r="M30" s="3"/>
      <c r="O30" s="3"/>
      <c r="P30" s="16">
        <v>0</v>
      </c>
      <c r="Q30" s="38">
        <v>0</v>
      </c>
      <c r="S30" s="27">
        <v>12</v>
      </c>
      <c r="T30" s="16">
        <f>AVERAGE(Q95:Q97)</f>
        <v>9.3644138184066961</v>
      </c>
      <c r="U30" s="16">
        <f>AVERAGE(Q98:Q100)</f>
        <v>3.4141448912145429</v>
      </c>
      <c r="V30" s="16">
        <f>AVERAGE(Q101:Q103)</f>
        <v>1.9971729909594591</v>
      </c>
      <c r="W30" s="16">
        <f>AVERAGE(Q104:Q106)</f>
        <v>4.976008548942386</v>
      </c>
      <c r="X30" s="16">
        <f>AVERAGE(Q107:Q109)</f>
        <v>1.7771481219004039</v>
      </c>
      <c r="Y30" s="16">
        <f>AVERAGE(Q110:Q112)</f>
        <v>1.7304771266272798</v>
      </c>
      <c r="Z30" s="28">
        <f>AVERAGE(Q113:Q115)</f>
        <v>0.36804745799987848</v>
      </c>
    </row>
    <row r="31" spans="1:26" ht="15.75" customHeight="1" x14ac:dyDescent="0.15">
      <c r="A31" s="19">
        <v>45834</v>
      </c>
      <c r="B31" s="16">
        <v>8</v>
      </c>
      <c r="C31" s="16">
        <v>0</v>
      </c>
      <c r="E31" s="44" t="s">
        <v>136</v>
      </c>
      <c r="H31" s="3">
        <v>3</v>
      </c>
      <c r="I31" s="16" t="s">
        <v>129</v>
      </c>
      <c r="J31" s="16">
        <v>2</v>
      </c>
      <c r="L31" s="3"/>
      <c r="M31" s="3"/>
      <c r="O31" s="3"/>
      <c r="P31" s="46">
        <v>0</v>
      </c>
      <c r="Q31" s="49">
        <v>0</v>
      </c>
      <c r="S31" s="27">
        <v>15</v>
      </c>
      <c r="T31" s="16">
        <f>AVERAGE(Q116:Q118)</f>
        <v>11.80156033121159</v>
      </c>
      <c r="U31" s="16">
        <f>AVERAGE(Q119:Q121)</f>
        <v>4.4259767142035882</v>
      </c>
      <c r="V31" s="16">
        <f>AVERAGE(Q122:Q124)</f>
        <v>3.0809351397673459</v>
      </c>
      <c r="W31" s="16">
        <f>AVERAGE(Q125:Q127)</f>
        <v>6.2440831368776033</v>
      </c>
      <c r="X31" s="16">
        <f>AVERAGE(Q128:Z130)</f>
        <v>3.1745324969785922</v>
      </c>
      <c r="Y31" s="16">
        <f>AVERAGE(Q131:Q133)</f>
        <v>2.6744508864278576</v>
      </c>
      <c r="Z31" s="28">
        <f>AVERAGE(Q134:Q136)</f>
        <v>1.5007180131229372</v>
      </c>
    </row>
    <row r="32" spans="1:26" ht="15.75" customHeight="1" x14ac:dyDescent="0.15">
      <c r="A32" s="19">
        <v>45837</v>
      </c>
      <c r="B32" s="16">
        <v>11</v>
      </c>
      <c r="C32" s="16">
        <v>3</v>
      </c>
      <c r="E32" s="16" t="s">
        <v>32</v>
      </c>
      <c r="F32" s="22">
        <v>2.2499999999999999E-4</v>
      </c>
      <c r="G32" s="22">
        <v>2.2499999999999999E-4</v>
      </c>
      <c r="H32" s="3">
        <v>1</v>
      </c>
      <c r="I32" s="16" t="s">
        <v>129</v>
      </c>
      <c r="J32" s="16">
        <v>10.5</v>
      </c>
      <c r="K32" s="16">
        <v>2</v>
      </c>
      <c r="L32" s="3"/>
      <c r="M32" s="3"/>
      <c r="O32" s="3"/>
      <c r="P32" s="33">
        <f t="shared" ref="P32:P52" si="0">LOG(J32/2,2)</f>
        <v>2.3923174227787602</v>
      </c>
      <c r="Q32" s="36">
        <f t="shared" ref="Q32:Q52" si="1">LOG(J32/2,2)</f>
        <v>2.3923174227787602</v>
      </c>
      <c r="S32" s="27">
        <v>18</v>
      </c>
      <c r="T32" s="16">
        <f>AVERAGE(Q137:Q139)</f>
        <v>14.023041906043375</v>
      </c>
      <c r="U32" s="16">
        <f>AVERAGE(Q140:Z142)</f>
        <v>5.4102489210616431</v>
      </c>
      <c r="V32" s="16">
        <f>AVERAGE(Q143:Q145)</f>
        <v>3.6295463512576909</v>
      </c>
      <c r="W32" s="16">
        <f>AVERAGE(Q146:Q148)</f>
        <v>7.3503108519970892</v>
      </c>
      <c r="X32" s="16">
        <f>AVERAGE(Q149:Q151)</f>
        <v>3.8013576706332337</v>
      </c>
      <c r="Y32" s="16">
        <f>AVERAGE(Q152:Q154)</f>
        <v>5.0038782896274201</v>
      </c>
      <c r="Z32" s="16">
        <f>AVERAGE(Q155:Q157)</f>
        <v>3.4250478590879019</v>
      </c>
    </row>
    <row r="33" spans="1:26" ht="15.75" customHeight="1" x14ac:dyDescent="0.15">
      <c r="A33" s="19"/>
      <c r="B33" s="16">
        <v>11</v>
      </c>
      <c r="C33" s="16">
        <v>3</v>
      </c>
      <c r="E33" s="16" t="s">
        <v>32</v>
      </c>
      <c r="F33" s="22">
        <v>2.2499999999999999E-4</v>
      </c>
      <c r="G33" s="22">
        <v>2.2499999999999999E-4</v>
      </c>
      <c r="H33" s="3">
        <v>2</v>
      </c>
      <c r="I33" s="16" t="s">
        <v>129</v>
      </c>
      <c r="J33" s="16">
        <v>9.83</v>
      </c>
      <c r="K33" s="16">
        <v>2</v>
      </c>
      <c r="L33" s="3"/>
      <c r="M33" s="3"/>
      <c r="O33" s="3"/>
      <c r="P33" s="16">
        <f t="shared" si="0"/>
        <v>2.2971914165658562</v>
      </c>
      <c r="Q33" s="38">
        <f t="shared" si="1"/>
        <v>2.2971914165658562</v>
      </c>
      <c r="S33" s="29">
        <v>21</v>
      </c>
      <c r="T33" s="30">
        <f>AVERAGE(Q158:Q160)</f>
        <v>16.333256149879212</v>
      </c>
      <c r="U33" s="30">
        <f>AVERAGE(Q161:Q163)</f>
        <v>6.6717937997905752</v>
      </c>
      <c r="V33" s="16">
        <f>AVERAGE(Q164:Q166)</f>
        <v>4.8055333870447496</v>
      </c>
      <c r="W33" s="30">
        <f>AVERAGE(Q167:Z169)</f>
        <v>8.5767258890273137</v>
      </c>
      <c r="X33" s="30">
        <f>AVERAGE(Q170:Q172)</f>
        <v>5.6233053754745237</v>
      </c>
      <c r="Y33" s="30">
        <f>AVERAGE(Q173:Q175)</f>
        <v>6.2391973780554295</v>
      </c>
      <c r="Z33" s="31">
        <f>AVERAGE(Q176:Q178)</f>
        <v>3.8127492204350006</v>
      </c>
    </row>
    <row r="34" spans="1:26" ht="15.75" customHeight="1" x14ac:dyDescent="0.15">
      <c r="A34" s="19"/>
      <c r="B34" s="16">
        <v>11</v>
      </c>
      <c r="C34" s="16">
        <v>3</v>
      </c>
      <c r="E34" s="16" t="s">
        <v>32</v>
      </c>
      <c r="F34" s="22">
        <v>2.2499999999999999E-4</v>
      </c>
      <c r="G34" s="22">
        <v>2.2499999999999999E-4</v>
      </c>
      <c r="H34" s="3">
        <v>3</v>
      </c>
      <c r="I34" s="16" t="s">
        <v>129</v>
      </c>
      <c r="J34" s="16">
        <v>11.4</v>
      </c>
      <c r="K34" s="16">
        <v>2</v>
      </c>
      <c r="L34" s="3"/>
      <c r="M34" s="3"/>
      <c r="O34" s="3"/>
      <c r="P34" s="16">
        <f t="shared" si="0"/>
        <v>2.5109619192773796</v>
      </c>
      <c r="Q34" s="38">
        <f t="shared" si="1"/>
        <v>2.5109619192773796</v>
      </c>
      <c r="S34" s="16" t="s">
        <v>104</v>
      </c>
    </row>
    <row r="35" spans="1:26" ht="15.75" customHeight="1" x14ac:dyDescent="0.15">
      <c r="A35" s="19"/>
      <c r="B35" s="16">
        <v>11</v>
      </c>
      <c r="C35" s="16">
        <v>3</v>
      </c>
      <c r="E35" s="39" t="s">
        <v>130</v>
      </c>
      <c r="F35" s="16">
        <v>4000</v>
      </c>
      <c r="G35" s="16">
        <v>4000</v>
      </c>
      <c r="H35" s="3">
        <v>1</v>
      </c>
      <c r="I35" s="16" t="s">
        <v>129</v>
      </c>
      <c r="J35" s="16">
        <v>4.66</v>
      </c>
      <c r="K35" s="16">
        <v>2</v>
      </c>
      <c r="L35" s="3"/>
      <c r="M35" s="3"/>
      <c r="O35" s="3"/>
      <c r="P35" s="16">
        <f t="shared" si="0"/>
        <v>1.2203299548795556</v>
      </c>
      <c r="Q35" s="38">
        <f t="shared" si="1"/>
        <v>1.2203299548795556</v>
      </c>
      <c r="S35" s="24" t="s">
        <v>55</v>
      </c>
      <c r="T35" s="25" t="s">
        <v>134</v>
      </c>
      <c r="U35" s="25" t="s">
        <v>123</v>
      </c>
      <c r="V35" s="25" t="s">
        <v>124</v>
      </c>
      <c r="W35" s="25" t="s">
        <v>125</v>
      </c>
      <c r="X35" s="25" t="s">
        <v>126</v>
      </c>
      <c r="Y35" s="25" t="s">
        <v>127</v>
      </c>
      <c r="Z35" s="26" t="s">
        <v>128</v>
      </c>
    </row>
    <row r="36" spans="1:26" ht="15.75" customHeight="1" x14ac:dyDescent="0.15">
      <c r="A36" s="19"/>
      <c r="B36" s="16">
        <v>11</v>
      </c>
      <c r="C36" s="16">
        <v>3</v>
      </c>
      <c r="E36" s="39" t="s">
        <v>130</v>
      </c>
      <c r="F36" s="16">
        <v>4000</v>
      </c>
      <c r="G36" s="16">
        <v>4000</v>
      </c>
      <c r="H36" s="3">
        <v>2</v>
      </c>
      <c r="I36" s="16" t="s">
        <v>129</v>
      </c>
      <c r="J36" s="16">
        <v>3.78</v>
      </c>
      <c r="K36" s="16">
        <v>2</v>
      </c>
      <c r="L36" s="3"/>
      <c r="M36" s="3"/>
      <c r="O36" s="3"/>
      <c r="P36" s="16">
        <f t="shared" si="0"/>
        <v>0.91838623444634793</v>
      </c>
      <c r="Q36" s="38">
        <f t="shared" si="1"/>
        <v>0.91838623444634793</v>
      </c>
      <c r="S36" s="27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28">
        <v>0</v>
      </c>
    </row>
    <row r="37" spans="1:26" ht="15.75" customHeight="1" x14ac:dyDescent="0.15">
      <c r="A37" s="19"/>
      <c r="B37" s="16">
        <v>11</v>
      </c>
      <c r="C37" s="16">
        <v>3</v>
      </c>
      <c r="E37" s="39" t="s">
        <v>130</v>
      </c>
      <c r="F37" s="16">
        <v>4000</v>
      </c>
      <c r="G37" s="16">
        <v>4000</v>
      </c>
      <c r="H37" s="3">
        <v>3</v>
      </c>
      <c r="I37" s="16" t="s">
        <v>129</v>
      </c>
      <c r="J37" s="16">
        <v>5.67</v>
      </c>
      <c r="K37" s="16">
        <v>2</v>
      </c>
      <c r="L37" s="3"/>
      <c r="M37" s="3"/>
      <c r="O37" s="3"/>
      <c r="P37" s="16">
        <f t="shared" si="0"/>
        <v>1.5033487351675041</v>
      </c>
      <c r="Q37" s="38">
        <f t="shared" si="1"/>
        <v>1.5033487351675041</v>
      </c>
      <c r="S37" s="27">
        <v>3</v>
      </c>
      <c r="T37" s="16">
        <f>STDEV(Q32:Q34)</f>
        <v>0.10710065471085733</v>
      </c>
      <c r="U37" s="16">
        <f>STDEV(Q35:Q37)</f>
        <v>0.29253226817870753</v>
      </c>
      <c r="V37" s="16">
        <f>STDEV(Q38:Q40)</f>
        <v>0.18807234823834829</v>
      </c>
      <c r="W37" s="16">
        <f>STDEV(Q41:Q43)</f>
        <v>0.34012436239250354</v>
      </c>
      <c r="X37" s="16">
        <f>STDEV(Q44:Q46)</f>
        <v>0.15508722331754901</v>
      </c>
      <c r="Y37" s="16">
        <f>STDEV(Q47:Q49)</f>
        <v>0.61090472218274516</v>
      </c>
      <c r="Z37" s="28">
        <f>STDEV(Q50:Q52)</f>
        <v>0.19745275761415385</v>
      </c>
    </row>
    <row r="38" spans="1:26" ht="15.75" customHeight="1" x14ac:dyDescent="0.15">
      <c r="A38" s="19"/>
      <c r="B38" s="16">
        <v>11</v>
      </c>
      <c r="C38" s="16">
        <v>3</v>
      </c>
      <c r="E38" s="40" t="s">
        <v>131</v>
      </c>
      <c r="F38" s="16">
        <v>8000</v>
      </c>
      <c r="G38" s="16">
        <v>8000</v>
      </c>
      <c r="H38" s="3">
        <v>1</v>
      </c>
      <c r="I38" s="16" t="s">
        <v>129</v>
      </c>
      <c r="J38" s="16">
        <v>3.7</v>
      </c>
      <c r="K38" s="16">
        <v>2</v>
      </c>
      <c r="L38" s="3"/>
      <c r="M38" s="3"/>
      <c r="O38" s="3"/>
      <c r="P38" s="16">
        <f t="shared" si="0"/>
        <v>0.88752527074158749</v>
      </c>
      <c r="Q38" s="38">
        <f t="shared" si="1"/>
        <v>0.88752527074158749</v>
      </c>
      <c r="S38" s="27">
        <v>6</v>
      </c>
      <c r="T38" s="16">
        <f>STDEV(Q53:Q55)</f>
        <v>0.33899498280037643</v>
      </c>
      <c r="U38" s="16">
        <f>STDEV(Q56:Q58)</f>
        <v>0.13363957315787703</v>
      </c>
      <c r="V38" s="16">
        <f>STDEV(Q59:Q61)</f>
        <v>0.22581792973268214</v>
      </c>
      <c r="W38" s="16">
        <f>STDEV(Q62:Q64)</f>
        <v>0.28647530920617736</v>
      </c>
      <c r="X38" s="16">
        <f>STDEV(Q65:Q67)</f>
        <v>0.17200957272740916</v>
      </c>
      <c r="Y38" s="16">
        <f>STDEV(Q68:Q70)</f>
        <v>0.31298569754303018</v>
      </c>
      <c r="Z38" s="28">
        <f>STDEV(Q71:Q73)</f>
        <v>0.36072555644424081</v>
      </c>
    </row>
    <row r="39" spans="1:26" ht="15.75" customHeight="1" x14ac:dyDescent="0.15">
      <c r="A39" s="19"/>
      <c r="B39" s="16">
        <v>11</v>
      </c>
      <c r="C39" s="16">
        <v>3</v>
      </c>
      <c r="E39" s="40" t="s">
        <v>131</v>
      </c>
      <c r="F39" s="16">
        <v>8000</v>
      </c>
      <c r="G39" s="16">
        <v>8000</v>
      </c>
      <c r="H39" s="3">
        <v>2</v>
      </c>
      <c r="I39" s="16" t="s">
        <v>129</v>
      </c>
      <c r="J39" s="16">
        <v>3.37</v>
      </c>
      <c r="K39" s="16">
        <v>2</v>
      </c>
      <c r="L39" s="3"/>
      <c r="M39" s="3"/>
      <c r="O39" s="3"/>
      <c r="P39" s="16">
        <f t="shared" si="0"/>
        <v>0.75274859140713379</v>
      </c>
      <c r="Q39" s="38">
        <f t="shared" si="1"/>
        <v>0.75274859140713379</v>
      </c>
      <c r="S39" s="27">
        <v>9</v>
      </c>
      <c r="T39" s="16">
        <f>STDEV(Q74:Q76)</f>
        <v>0.47358752558479289</v>
      </c>
      <c r="U39" s="16">
        <f>STDEV(Q77:Q79)</f>
        <v>0.19449759750869</v>
      </c>
      <c r="V39" s="16">
        <f>STDEV(Q80:Q82)</f>
        <v>0.31005374209991898</v>
      </c>
      <c r="W39" s="16">
        <f>STDEV(Q83:Q85)</f>
        <v>0.28680560050932374</v>
      </c>
      <c r="X39" s="16">
        <f>STDEV(Q86:Q88)</f>
        <v>0.34080581669037052</v>
      </c>
      <c r="Y39" s="16">
        <f>STDEV(Q89:Q91)</f>
        <v>0.33715784912137209</v>
      </c>
      <c r="Z39" s="28">
        <f>STDEV(Q92:Q94)</f>
        <v>0.57768201242291684</v>
      </c>
    </row>
    <row r="40" spans="1:26" ht="15.75" customHeight="1" x14ac:dyDescent="0.15">
      <c r="A40" s="19"/>
      <c r="B40" s="16">
        <v>11</v>
      </c>
      <c r="C40" s="16">
        <v>3</v>
      </c>
      <c r="E40" s="40" t="s">
        <v>131</v>
      </c>
      <c r="F40" s="16">
        <v>8000</v>
      </c>
      <c r="G40" s="16">
        <v>8000</v>
      </c>
      <c r="H40" s="3">
        <v>3</v>
      </c>
      <c r="I40" s="16" t="s">
        <v>129</v>
      </c>
      <c r="J40" s="16">
        <v>2.86</v>
      </c>
      <c r="K40" s="16">
        <v>2</v>
      </c>
      <c r="L40" s="3"/>
      <c r="M40" s="3"/>
      <c r="O40" s="3"/>
      <c r="P40" s="16">
        <f t="shared" si="0"/>
        <v>0.51601514700366469</v>
      </c>
      <c r="Q40" s="38">
        <f t="shared" si="1"/>
        <v>0.51601514700366469</v>
      </c>
      <c r="S40" s="27">
        <v>12</v>
      </c>
      <c r="T40" s="16">
        <f>STDEV(Q95:Q97)</f>
        <v>0.37814725177581771</v>
      </c>
      <c r="U40" s="16">
        <f>STDEV(Q98:Q100)</f>
        <v>0.26319867557636001</v>
      </c>
      <c r="V40" s="16">
        <f>STDEV(Q101:Q103)</f>
        <v>0.12256046497780768</v>
      </c>
      <c r="W40" s="16">
        <f>STDEV(Q104:Q106)</f>
        <v>0.43922935269462321</v>
      </c>
      <c r="X40" s="16">
        <f>STDEV(Q107:Q109)</f>
        <v>0.37134836066019233</v>
      </c>
      <c r="Y40" s="16">
        <f>STDEV(Q110:Q112)</f>
        <v>0.23147955046527813</v>
      </c>
      <c r="Z40" s="28">
        <f>STDEV(Q113:Q115)</f>
        <v>0.46599894152012922</v>
      </c>
    </row>
    <row r="41" spans="1:26" ht="15.75" customHeight="1" x14ac:dyDescent="0.15">
      <c r="A41" s="19"/>
      <c r="B41" s="16">
        <v>11</v>
      </c>
      <c r="C41" s="16">
        <v>3</v>
      </c>
      <c r="E41" s="41" t="s">
        <v>132</v>
      </c>
      <c r="F41" s="16">
        <v>10000</v>
      </c>
      <c r="G41" s="16">
        <v>10000</v>
      </c>
      <c r="H41" s="3">
        <v>1</v>
      </c>
      <c r="I41" s="16" t="s">
        <v>129</v>
      </c>
      <c r="J41" s="16">
        <v>5.49</v>
      </c>
      <c r="K41" s="16">
        <v>2</v>
      </c>
      <c r="L41" s="3"/>
      <c r="M41" s="3"/>
      <c r="O41" s="3"/>
      <c r="P41" s="16">
        <f t="shared" si="0"/>
        <v>1.456806149230474</v>
      </c>
      <c r="Q41" s="38">
        <f t="shared" si="1"/>
        <v>1.456806149230474</v>
      </c>
      <c r="S41" s="27">
        <v>15</v>
      </c>
      <c r="T41" s="16">
        <f>STDEV(Q116:Q118)</f>
        <v>0.39889994009041152</v>
      </c>
      <c r="U41" s="16">
        <f>STDEV(Q119:Q121)</f>
        <v>0.45196880062778616</v>
      </c>
      <c r="V41" s="16">
        <f>STDEV(Q122:Q124)</f>
        <v>0.14986246867030334</v>
      </c>
      <c r="W41" s="16">
        <f>STDEV(Q125:Q127)</f>
        <v>0.41339386562512132</v>
      </c>
      <c r="X41" s="16">
        <f>STDEV(Q128:Z130)</f>
        <v>0.40704101150963651</v>
      </c>
      <c r="Y41" s="16">
        <f>STDEV(Q131:Q133)</f>
        <v>0.30338494872749827</v>
      </c>
      <c r="Z41" s="28">
        <f>STDEV(Q134:Q136)</f>
        <v>0.46551462993663728</v>
      </c>
    </row>
    <row r="42" spans="1:26" ht="15.75" customHeight="1" x14ac:dyDescent="0.15">
      <c r="A42" s="19"/>
      <c r="B42" s="16">
        <v>11</v>
      </c>
      <c r="C42" s="16">
        <v>3</v>
      </c>
      <c r="E42" s="41" t="s">
        <v>132</v>
      </c>
      <c r="F42" s="16">
        <v>10000</v>
      </c>
      <c r="G42" s="16">
        <v>10000</v>
      </c>
      <c r="H42" s="3">
        <v>2</v>
      </c>
      <c r="I42" s="16" t="s">
        <v>129</v>
      </c>
      <c r="J42" s="16">
        <v>5.1100000000000003</v>
      </c>
      <c r="K42" s="16">
        <v>2</v>
      </c>
      <c r="L42" s="3"/>
      <c r="M42" s="3"/>
      <c r="O42" s="3"/>
      <c r="P42" s="16">
        <f t="shared" si="0"/>
        <v>1.353323291162897</v>
      </c>
      <c r="Q42" s="38">
        <f t="shared" si="1"/>
        <v>1.353323291162897</v>
      </c>
      <c r="S42" s="27">
        <v>18</v>
      </c>
      <c r="T42" s="16">
        <f>STDEV(Q137:Q139)</f>
        <v>0.46132089756411104</v>
      </c>
      <c r="U42" s="16">
        <f>STDEV(Q140:Z142)</f>
        <v>0.29989248530724494</v>
      </c>
      <c r="V42" s="16">
        <f>STDEV(Q153:Q155)</f>
        <v>1.2999294056120412</v>
      </c>
      <c r="W42" s="16">
        <f>STDEV(Q146:Q148)</f>
        <v>0.26539113815793874</v>
      </c>
      <c r="X42" s="16">
        <f>STDEV(Q149:Q151)</f>
        <v>0.41078467794451606</v>
      </c>
      <c r="Y42" s="16">
        <f>STDEV(Q152:Q154)</f>
        <v>0.39563172751401476</v>
      </c>
      <c r="Z42" s="28">
        <f>STDEV(Q155:Q157)</f>
        <v>0.43448506519175606</v>
      </c>
    </row>
    <row r="43" spans="1:26" ht="15.75" customHeight="1" x14ac:dyDescent="0.15">
      <c r="A43" s="19"/>
      <c r="B43" s="16">
        <v>11</v>
      </c>
      <c r="C43" s="16">
        <v>3</v>
      </c>
      <c r="E43" s="41" t="s">
        <v>132</v>
      </c>
      <c r="F43" s="16">
        <v>10000</v>
      </c>
      <c r="G43" s="16">
        <v>10000</v>
      </c>
      <c r="H43" s="3">
        <v>3</v>
      </c>
      <c r="I43" s="16" t="s">
        <v>129</v>
      </c>
      <c r="J43" s="16">
        <v>7.93</v>
      </c>
      <c r="K43" s="16">
        <v>2</v>
      </c>
      <c r="L43" s="3"/>
      <c r="M43" s="3"/>
      <c r="O43" s="3"/>
      <c r="P43" s="16">
        <f t="shared" si="0"/>
        <v>1.9873208659292538</v>
      </c>
      <c r="Q43" s="38">
        <f t="shared" si="1"/>
        <v>1.9873208659292538</v>
      </c>
      <c r="S43" s="29">
        <v>21</v>
      </c>
      <c r="T43" s="30">
        <f>STDEV(Q158:Q160)</f>
        <v>0.41591959201775885</v>
      </c>
      <c r="U43" s="30">
        <f>STDEV(Q161:Q163)</f>
        <v>0.45562548188995894</v>
      </c>
      <c r="V43" s="16">
        <f>STDEV(Q164:Q166)</f>
        <v>2.3108174414801643E-2</v>
      </c>
      <c r="W43" s="30">
        <f>STDEV(Q167:Z169)</f>
        <v>0.16863960004154616</v>
      </c>
      <c r="X43" s="30">
        <f>STDEV(Q170:Q172)</f>
        <v>0.49391488349156465</v>
      </c>
      <c r="Y43" s="30">
        <f>STDEV(Q173:Q175)</f>
        <v>0.37796869701958952</v>
      </c>
      <c r="Z43" s="31">
        <f>STDEV(Q176:Q178)</f>
        <v>0.34218351568456973</v>
      </c>
    </row>
    <row r="44" spans="1:26" ht="15.75" customHeight="1" x14ac:dyDescent="0.15">
      <c r="A44" s="19"/>
      <c r="B44" s="16">
        <v>11</v>
      </c>
      <c r="C44" s="16">
        <v>3</v>
      </c>
      <c r="E44" s="42" t="s">
        <v>133</v>
      </c>
      <c r="F44" s="16">
        <v>2000</v>
      </c>
      <c r="G44" s="16">
        <v>2000</v>
      </c>
      <c r="H44" s="3">
        <v>1</v>
      </c>
      <c r="I44" s="16" t="s">
        <v>129</v>
      </c>
      <c r="J44" s="16">
        <v>1.94</v>
      </c>
      <c r="K44" s="16">
        <v>2</v>
      </c>
      <c r="L44" s="3"/>
      <c r="M44" s="3"/>
      <c r="O44" s="3"/>
      <c r="P44" s="16">
        <f t="shared" si="0"/>
        <v>-4.3943347587597055E-2</v>
      </c>
      <c r="Q44" s="38">
        <f t="shared" si="1"/>
        <v>-4.3943347587597055E-2</v>
      </c>
    </row>
    <row r="45" spans="1:26" ht="15.75" customHeight="1" x14ac:dyDescent="0.15">
      <c r="A45" s="19"/>
      <c r="B45" s="16">
        <v>11</v>
      </c>
      <c r="C45" s="16">
        <v>3</v>
      </c>
      <c r="E45" s="42" t="s">
        <v>133</v>
      </c>
      <c r="F45" s="16">
        <v>2000</v>
      </c>
      <c r="G45" s="16">
        <v>2000</v>
      </c>
      <c r="H45" s="3">
        <v>2</v>
      </c>
      <c r="I45" s="16" t="s">
        <v>129</v>
      </c>
      <c r="J45" s="16">
        <v>2.36</v>
      </c>
      <c r="K45" s="16">
        <v>2</v>
      </c>
      <c r="L45" s="3"/>
      <c r="M45" s="3"/>
      <c r="O45" s="3"/>
      <c r="P45" s="16">
        <f t="shared" si="0"/>
        <v>0.23878685958711648</v>
      </c>
      <c r="Q45" s="38">
        <f t="shared" si="1"/>
        <v>0.23878685958711648</v>
      </c>
    </row>
    <row r="46" spans="1:26" ht="15.75" customHeight="1" x14ac:dyDescent="0.15">
      <c r="A46" s="19"/>
      <c r="B46" s="16">
        <v>11</v>
      </c>
      <c r="C46" s="16">
        <v>3</v>
      </c>
      <c r="E46" s="42" t="s">
        <v>133</v>
      </c>
      <c r="F46" s="16">
        <v>2000</v>
      </c>
      <c r="G46" s="16">
        <v>2000</v>
      </c>
      <c r="H46" s="3">
        <v>3</v>
      </c>
      <c r="I46" s="16" t="s">
        <v>129</v>
      </c>
      <c r="J46" s="16">
        <v>2.31</v>
      </c>
      <c r="K46" s="16">
        <v>2</v>
      </c>
      <c r="L46" s="3"/>
      <c r="M46" s="3"/>
      <c r="O46" s="3"/>
      <c r="P46" s="16">
        <f t="shared" si="0"/>
        <v>0.20789285164133287</v>
      </c>
      <c r="Q46" s="38">
        <f t="shared" si="1"/>
        <v>0.20789285164133287</v>
      </c>
    </row>
    <row r="47" spans="1:26" ht="15.75" customHeight="1" x14ac:dyDescent="0.15">
      <c r="A47" s="19"/>
      <c r="B47" s="16">
        <v>11</v>
      </c>
      <c r="C47" s="16">
        <v>3</v>
      </c>
      <c r="E47" s="43" t="s">
        <v>135</v>
      </c>
      <c r="F47" s="16">
        <v>5000</v>
      </c>
      <c r="G47" s="16">
        <v>5000</v>
      </c>
      <c r="H47" s="3">
        <v>1</v>
      </c>
      <c r="I47" s="16" t="s">
        <v>129</v>
      </c>
      <c r="J47" s="16">
        <v>3.13</v>
      </c>
      <c r="K47" s="16">
        <v>2</v>
      </c>
      <c r="L47" s="3"/>
      <c r="M47" s="3"/>
      <c r="N47" s="18"/>
      <c r="O47" s="3"/>
      <c r="P47" s="16">
        <f t="shared" si="0"/>
        <v>0.64616265715789367</v>
      </c>
      <c r="Q47" s="38">
        <f t="shared" si="1"/>
        <v>0.64616265715789367</v>
      </c>
    </row>
    <row r="48" spans="1:26" ht="15.75" customHeight="1" x14ac:dyDescent="0.15">
      <c r="A48" s="19"/>
      <c r="B48" s="16">
        <v>11</v>
      </c>
      <c r="C48" s="16">
        <v>3</v>
      </c>
      <c r="E48" s="43" t="s">
        <v>135</v>
      </c>
      <c r="F48" s="16">
        <v>5000</v>
      </c>
      <c r="G48" s="16">
        <v>5000</v>
      </c>
      <c r="H48" s="3">
        <v>2</v>
      </c>
      <c r="I48" s="16" t="s">
        <v>129</v>
      </c>
      <c r="J48" s="16">
        <v>6.87</v>
      </c>
      <c r="K48" s="16">
        <v>2</v>
      </c>
      <c r="L48" s="3"/>
      <c r="M48" s="3"/>
      <c r="O48" s="3"/>
      <c r="P48" s="16">
        <f t="shared" si="0"/>
        <v>1.7803100990433756</v>
      </c>
      <c r="Q48" s="38">
        <f t="shared" si="1"/>
        <v>1.7803100990433756</v>
      </c>
    </row>
    <row r="49" spans="1:17" ht="15.75" customHeight="1" x14ac:dyDescent="0.15">
      <c r="A49" s="19"/>
      <c r="B49" s="16">
        <v>11</v>
      </c>
      <c r="C49" s="16">
        <v>3</v>
      </c>
      <c r="E49" s="43" t="s">
        <v>135</v>
      </c>
      <c r="F49" s="16">
        <v>5000</v>
      </c>
      <c r="G49" s="16">
        <v>5000</v>
      </c>
      <c r="H49" s="3">
        <v>3</v>
      </c>
      <c r="I49" s="16" t="s">
        <v>129</v>
      </c>
      <c r="J49" s="16">
        <v>3.53</v>
      </c>
      <c r="K49" s="16">
        <v>2</v>
      </c>
      <c r="L49" s="3"/>
      <c r="M49" s="3"/>
      <c r="O49" s="3"/>
      <c r="P49" s="16">
        <f t="shared" si="0"/>
        <v>0.81966818349645554</v>
      </c>
      <c r="Q49" s="38">
        <f t="shared" si="1"/>
        <v>0.81966818349645554</v>
      </c>
    </row>
    <row r="50" spans="1:17" ht="15.75" customHeight="1" x14ac:dyDescent="0.15">
      <c r="A50" s="19"/>
      <c r="B50" s="16">
        <v>11</v>
      </c>
      <c r="C50" s="16">
        <v>3</v>
      </c>
      <c r="E50" s="44" t="s">
        <v>136</v>
      </c>
      <c r="F50" s="16">
        <v>5000</v>
      </c>
      <c r="G50" s="16">
        <v>0</v>
      </c>
      <c r="H50" s="3">
        <v>1</v>
      </c>
      <c r="I50" s="16" t="s">
        <v>129</v>
      </c>
      <c r="J50" s="16">
        <v>1.63</v>
      </c>
      <c r="K50" s="16">
        <v>1.63</v>
      </c>
      <c r="L50" s="3"/>
      <c r="M50" s="3"/>
      <c r="N50" s="18"/>
      <c r="O50" s="3"/>
      <c r="P50" s="16">
        <f t="shared" si="0"/>
        <v>-0.29512803554364725</v>
      </c>
      <c r="Q50" s="38">
        <f t="shared" si="1"/>
        <v>-0.29512803554364725</v>
      </c>
    </row>
    <row r="51" spans="1:17" ht="13" x14ac:dyDescent="0.15">
      <c r="A51" s="19"/>
      <c r="B51" s="16">
        <v>11</v>
      </c>
      <c r="C51" s="16">
        <v>3</v>
      </c>
      <c r="E51" s="44" t="s">
        <v>136</v>
      </c>
      <c r="F51" s="16">
        <v>5000</v>
      </c>
      <c r="G51" s="16">
        <v>0</v>
      </c>
      <c r="H51" s="3">
        <v>2</v>
      </c>
      <c r="I51" s="16" t="s">
        <v>129</v>
      </c>
      <c r="J51" s="16">
        <v>1.29</v>
      </c>
      <c r="K51" s="16">
        <v>1.29</v>
      </c>
      <c r="L51" s="3"/>
      <c r="M51" s="3"/>
      <c r="O51" s="3"/>
      <c r="P51" s="16">
        <f t="shared" si="0"/>
        <v>-0.63262893435147061</v>
      </c>
      <c r="Q51" s="38">
        <f t="shared" si="1"/>
        <v>-0.63262893435147061</v>
      </c>
    </row>
    <row r="52" spans="1:17" ht="13" x14ac:dyDescent="0.15">
      <c r="A52" s="19"/>
      <c r="B52" s="16">
        <v>11</v>
      </c>
      <c r="C52" s="16">
        <v>3</v>
      </c>
      <c r="E52" s="44" t="s">
        <v>136</v>
      </c>
      <c r="F52" s="16">
        <v>5000</v>
      </c>
      <c r="G52" s="16">
        <v>0</v>
      </c>
      <c r="H52" s="3">
        <v>3</v>
      </c>
      <c r="I52" s="16" t="s">
        <v>129</v>
      </c>
      <c r="J52" s="16">
        <v>1.64</v>
      </c>
      <c r="K52" s="16">
        <v>1.64</v>
      </c>
      <c r="L52" s="3"/>
      <c r="M52" s="3"/>
      <c r="O52" s="3"/>
      <c r="P52" s="16">
        <f t="shared" si="0"/>
        <v>-0.28630418515664108</v>
      </c>
      <c r="Q52" s="38">
        <f t="shared" si="1"/>
        <v>-0.28630418515664108</v>
      </c>
    </row>
    <row r="53" spans="1:17" ht="13" x14ac:dyDescent="0.15">
      <c r="A53" s="19">
        <v>45840</v>
      </c>
      <c r="B53" s="16">
        <v>14</v>
      </c>
      <c r="C53" s="16">
        <v>6</v>
      </c>
      <c r="E53" s="16" t="s">
        <v>32</v>
      </c>
      <c r="F53" s="22">
        <v>2.2499999999999999E-4</v>
      </c>
      <c r="G53" s="22">
        <v>2.0000000000000001E-4</v>
      </c>
      <c r="H53" s="3">
        <v>1</v>
      </c>
      <c r="I53" s="16" t="s">
        <v>129</v>
      </c>
      <c r="J53" s="16">
        <v>13.5</v>
      </c>
      <c r="K53" s="16">
        <v>2</v>
      </c>
      <c r="L53" s="3"/>
      <c r="M53" s="3"/>
      <c r="N53" s="18"/>
      <c r="O53" s="3"/>
      <c r="P53" s="51">
        <f t="shared" ref="P53:P178" si="2">LOG(J53/K32,2)</f>
        <v>2.7548875021634687</v>
      </c>
      <c r="Q53" s="36">
        <f t="shared" ref="Q53:Q178" si="3">P53+Q32</f>
        <v>5.1472049249422289</v>
      </c>
    </row>
    <row r="54" spans="1:17" ht="13" x14ac:dyDescent="0.15">
      <c r="A54" s="19"/>
      <c r="B54" s="16">
        <v>14</v>
      </c>
      <c r="C54" s="16">
        <v>6</v>
      </c>
      <c r="E54" s="16" t="s">
        <v>32</v>
      </c>
      <c r="F54" s="22">
        <v>2.2499999999999999E-4</v>
      </c>
      <c r="G54" s="22">
        <v>2.0000000000000001E-4</v>
      </c>
      <c r="H54" s="3">
        <v>2</v>
      </c>
      <c r="I54" s="16" t="s">
        <v>129</v>
      </c>
      <c r="J54" s="16">
        <v>12.3</v>
      </c>
      <c r="K54" s="16">
        <v>2</v>
      </c>
      <c r="L54" s="3"/>
      <c r="M54" s="3"/>
      <c r="O54" s="3"/>
      <c r="P54" s="52">
        <f t="shared" si="2"/>
        <v>2.6205864104518777</v>
      </c>
      <c r="Q54" s="36">
        <f t="shared" si="3"/>
        <v>4.9177778270177335</v>
      </c>
    </row>
    <row r="55" spans="1:17" ht="13" x14ac:dyDescent="0.15">
      <c r="A55" s="19"/>
      <c r="B55" s="16">
        <v>14</v>
      </c>
      <c r="C55" s="16">
        <v>6</v>
      </c>
      <c r="E55" s="16" t="s">
        <v>32</v>
      </c>
      <c r="F55" s="22">
        <v>2.2499999999999999E-4</v>
      </c>
      <c r="G55" s="16">
        <v>0.02</v>
      </c>
      <c r="H55" s="3">
        <v>3</v>
      </c>
      <c r="I55" s="16" t="s">
        <v>129</v>
      </c>
      <c r="J55" s="16">
        <v>7.83</v>
      </c>
      <c r="K55" s="16">
        <v>2</v>
      </c>
      <c r="L55" s="3"/>
      <c r="M55" s="3"/>
      <c r="O55" s="3"/>
      <c r="P55" s="52">
        <f t="shared" si="2"/>
        <v>1.9690123075163162</v>
      </c>
      <c r="Q55" s="36">
        <f t="shared" si="3"/>
        <v>4.4799742267936953</v>
      </c>
    </row>
    <row r="56" spans="1:17" ht="13" x14ac:dyDescent="0.15">
      <c r="A56" s="19"/>
      <c r="B56" s="16">
        <v>14</v>
      </c>
      <c r="C56" s="16">
        <v>6</v>
      </c>
      <c r="E56" s="39" t="s">
        <v>130</v>
      </c>
      <c r="F56" s="16">
        <v>4000</v>
      </c>
      <c r="G56" s="16">
        <v>4000</v>
      </c>
      <c r="H56" s="3">
        <v>1</v>
      </c>
      <c r="I56" s="16" t="s">
        <v>129</v>
      </c>
      <c r="J56" s="20">
        <v>3.09</v>
      </c>
      <c r="K56" s="16">
        <v>2</v>
      </c>
      <c r="L56" s="3"/>
      <c r="M56" s="3"/>
      <c r="O56" s="3"/>
      <c r="P56" s="52">
        <f t="shared" si="2"/>
        <v>0.62760683812964979</v>
      </c>
      <c r="Q56" s="36">
        <f t="shared" si="3"/>
        <v>1.8479367930092054</v>
      </c>
    </row>
    <row r="57" spans="1:17" ht="13" x14ac:dyDescent="0.15">
      <c r="A57" s="19"/>
      <c r="B57" s="16">
        <v>14</v>
      </c>
      <c r="C57" s="16">
        <v>6</v>
      </c>
      <c r="E57" s="39" t="s">
        <v>130</v>
      </c>
      <c r="F57" s="16">
        <v>4000</v>
      </c>
      <c r="G57" s="16">
        <v>4000</v>
      </c>
      <c r="H57" s="3">
        <v>2</v>
      </c>
      <c r="I57" s="16" t="s">
        <v>129</v>
      </c>
      <c r="J57" s="20">
        <v>3.32</v>
      </c>
      <c r="K57" s="16">
        <v>2</v>
      </c>
      <c r="L57" s="3"/>
      <c r="M57" s="3"/>
      <c r="O57" s="3"/>
      <c r="P57" s="52">
        <f t="shared" si="2"/>
        <v>0.73118324157220005</v>
      </c>
      <c r="Q57" s="36">
        <f t="shared" si="3"/>
        <v>1.649569476018548</v>
      </c>
    </row>
    <row r="58" spans="1:17" ht="13" x14ac:dyDescent="0.15">
      <c r="A58" s="19"/>
      <c r="B58" s="16">
        <v>14</v>
      </c>
      <c r="C58" s="16">
        <v>6</v>
      </c>
      <c r="E58" s="39" t="s">
        <v>130</v>
      </c>
      <c r="F58" s="16">
        <v>4000</v>
      </c>
      <c r="G58" s="16">
        <v>4000</v>
      </c>
      <c r="H58" s="3">
        <v>3</v>
      </c>
      <c r="I58" s="16" t="s">
        <v>129</v>
      </c>
      <c r="J58" s="20">
        <v>2.64</v>
      </c>
      <c r="K58" s="16">
        <v>2</v>
      </c>
      <c r="L58" s="3"/>
      <c r="M58" s="3"/>
      <c r="O58" s="3"/>
      <c r="P58" s="52">
        <f t="shared" si="2"/>
        <v>0.40053792958372886</v>
      </c>
      <c r="Q58" s="36">
        <f t="shared" si="3"/>
        <v>1.9038866647512329</v>
      </c>
    </row>
    <row r="59" spans="1:17" ht="13" x14ac:dyDescent="0.15">
      <c r="A59" s="19"/>
      <c r="B59" s="16">
        <v>14</v>
      </c>
      <c r="C59" s="16">
        <v>6</v>
      </c>
      <c r="E59" s="40" t="s">
        <v>131</v>
      </c>
      <c r="F59" s="16">
        <v>8000</v>
      </c>
      <c r="G59" s="16">
        <v>0</v>
      </c>
      <c r="H59" s="3">
        <v>1</v>
      </c>
      <c r="I59" s="16" t="s">
        <v>129</v>
      </c>
      <c r="J59" s="20">
        <v>4.32</v>
      </c>
      <c r="K59" s="16">
        <v>4.32</v>
      </c>
      <c r="O59" s="3"/>
      <c r="P59" s="52">
        <f t="shared" si="2"/>
        <v>1.1110313123887441</v>
      </c>
      <c r="Q59" s="36">
        <f t="shared" si="3"/>
        <v>1.9985565831303316</v>
      </c>
    </row>
    <row r="60" spans="1:17" ht="13" x14ac:dyDescent="0.15">
      <c r="A60" s="19"/>
      <c r="B60" s="16">
        <v>14</v>
      </c>
      <c r="C60" s="16">
        <v>6</v>
      </c>
      <c r="E60" s="40" t="s">
        <v>131</v>
      </c>
      <c r="F60" s="16">
        <v>8000</v>
      </c>
      <c r="G60" s="16">
        <v>0</v>
      </c>
      <c r="H60" s="3">
        <v>2</v>
      </c>
      <c r="I60" s="16" t="s">
        <v>129</v>
      </c>
      <c r="J60" s="20">
        <v>3.48</v>
      </c>
      <c r="K60" s="16">
        <v>3.48</v>
      </c>
      <c r="O60" s="3"/>
      <c r="P60" s="52">
        <f t="shared" si="2"/>
        <v>0.79908730607400358</v>
      </c>
      <c r="Q60" s="36">
        <f t="shared" si="3"/>
        <v>1.5518358974811375</v>
      </c>
    </row>
    <row r="61" spans="1:17" ht="13" x14ac:dyDescent="0.15">
      <c r="A61" s="19"/>
      <c r="B61" s="16">
        <v>14</v>
      </c>
      <c r="C61" s="16">
        <v>6</v>
      </c>
      <c r="E61" s="40" t="s">
        <v>131</v>
      </c>
      <c r="F61" s="16">
        <v>8000</v>
      </c>
      <c r="G61" s="16">
        <v>0</v>
      </c>
      <c r="H61" s="3">
        <v>3</v>
      </c>
      <c r="I61" s="16" t="s">
        <v>129</v>
      </c>
      <c r="J61" s="20">
        <v>4.5999999999999996</v>
      </c>
      <c r="K61" s="16">
        <v>4.5999999999999996</v>
      </c>
      <c r="O61" s="3"/>
      <c r="P61" s="52">
        <f t="shared" si="2"/>
        <v>1.2016338611696504</v>
      </c>
      <c r="Q61" s="36">
        <f t="shared" si="3"/>
        <v>1.7176490081733151</v>
      </c>
    </row>
    <row r="62" spans="1:17" ht="13" x14ac:dyDescent="0.15">
      <c r="A62" s="19"/>
      <c r="B62" s="16">
        <v>14</v>
      </c>
      <c r="C62" s="16">
        <v>6</v>
      </c>
      <c r="E62" s="41" t="s">
        <v>132</v>
      </c>
      <c r="F62" s="16">
        <v>10000</v>
      </c>
      <c r="G62" s="16">
        <v>10000</v>
      </c>
      <c r="H62" s="3">
        <v>1</v>
      </c>
      <c r="I62" s="16" t="s">
        <v>129</v>
      </c>
      <c r="J62" s="20">
        <v>6.76</v>
      </c>
      <c r="K62" s="16">
        <v>2</v>
      </c>
      <c r="N62" s="18"/>
      <c r="O62" s="3"/>
      <c r="P62" s="52">
        <f t="shared" si="2"/>
        <v>1.7570232465074596</v>
      </c>
      <c r="Q62" s="36">
        <f t="shared" si="3"/>
        <v>3.2138293957379336</v>
      </c>
    </row>
    <row r="63" spans="1:17" ht="13" x14ac:dyDescent="0.15">
      <c r="A63" s="19"/>
      <c r="B63" s="16">
        <v>14</v>
      </c>
      <c r="C63" s="16">
        <v>6</v>
      </c>
      <c r="E63" s="41" t="s">
        <v>132</v>
      </c>
      <c r="F63" s="16">
        <v>10000</v>
      </c>
      <c r="G63" s="16">
        <v>10000</v>
      </c>
      <c r="H63" s="3">
        <v>2</v>
      </c>
      <c r="I63" s="16" t="s">
        <v>129</v>
      </c>
      <c r="J63" s="20">
        <v>4.9000000000000004</v>
      </c>
      <c r="K63" s="16">
        <v>2</v>
      </c>
      <c r="O63" s="3"/>
      <c r="P63" s="52">
        <f t="shared" si="2"/>
        <v>1.2927817492278462</v>
      </c>
      <c r="Q63" s="36">
        <f t="shared" si="3"/>
        <v>2.6461050403907431</v>
      </c>
    </row>
    <row r="64" spans="1:17" ht="13" x14ac:dyDescent="0.15">
      <c r="A64" s="19"/>
      <c r="B64" s="16">
        <v>14</v>
      </c>
      <c r="C64" s="16">
        <v>6</v>
      </c>
      <c r="E64" s="41" t="s">
        <v>132</v>
      </c>
      <c r="F64" s="16">
        <v>10000</v>
      </c>
      <c r="G64" s="16">
        <v>10000</v>
      </c>
      <c r="H64" s="3">
        <v>3</v>
      </c>
      <c r="I64" s="16" t="s">
        <v>129</v>
      </c>
      <c r="J64" s="20">
        <v>3.67</v>
      </c>
      <c r="K64" s="16">
        <v>2</v>
      </c>
      <c r="O64" s="3"/>
      <c r="P64" s="52">
        <f t="shared" si="2"/>
        <v>0.8757800630684881</v>
      </c>
      <c r="Q64" s="36">
        <f t="shared" si="3"/>
        <v>2.863100928997742</v>
      </c>
    </row>
    <row r="65" spans="1:17" ht="13" x14ac:dyDescent="0.15">
      <c r="A65" s="19"/>
      <c r="B65" s="16">
        <v>14</v>
      </c>
      <c r="C65" s="16">
        <v>6</v>
      </c>
      <c r="E65" s="42" t="s">
        <v>133</v>
      </c>
      <c r="F65" s="16">
        <v>2000</v>
      </c>
      <c r="G65" s="16">
        <v>0</v>
      </c>
      <c r="H65" s="3">
        <v>1</v>
      </c>
      <c r="I65" s="16" t="s">
        <v>129</v>
      </c>
      <c r="J65" s="16">
        <v>2.2000000000000002</v>
      </c>
      <c r="K65" s="16">
        <v>2.2000000000000002</v>
      </c>
      <c r="O65" s="3"/>
      <c r="P65" s="52">
        <f t="shared" si="2"/>
        <v>0.13750352374993502</v>
      </c>
      <c r="Q65" s="36">
        <f t="shared" si="3"/>
        <v>9.3560176162337971E-2</v>
      </c>
    </row>
    <row r="66" spans="1:17" ht="13" x14ac:dyDescent="0.15">
      <c r="A66" s="19"/>
      <c r="B66" s="16">
        <v>14</v>
      </c>
      <c r="C66" s="16">
        <v>6</v>
      </c>
      <c r="E66" s="42" t="s">
        <v>133</v>
      </c>
      <c r="F66" s="16">
        <v>2000</v>
      </c>
      <c r="G66" s="16">
        <v>0</v>
      </c>
      <c r="H66" s="3">
        <v>2</v>
      </c>
      <c r="I66" s="16" t="s">
        <v>129</v>
      </c>
      <c r="J66" s="16">
        <v>1.75</v>
      </c>
      <c r="K66" s="16">
        <v>1.75</v>
      </c>
      <c r="O66" s="3"/>
      <c r="P66" s="52">
        <f t="shared" si="2"/>
        <v>-0.19264507794239591</v>
      </c>
      <c r="Q66" s="36">
        <f t="shared" si="3"/>
        <v>4.6141781644720575E-2</v>
      </c>
    </row>
    <row r="67" spans="1:17" ht="13" x14ac:dyDescent="0.15">
      <c r="A67" s="19"/>
      <c r="B67" s="16">
        <v>14</v>
      </c>
      <c r="C67" s="16">
        <v>6</v>
      </c>
      <c r="E67" s="42" t="s">
        <v>133</v>
      </c>
      <c r="F67" s="16">
        <v>2000</v>
      </c>
      <c r="G67" s="16">
        <v>0</v>
      </c>
      <c r="H67" s="3">
        <v>3</v>
      </c>
      <c r="I67" s="16" t="s">
        <v>129</v>
      </c>
      <c r="J67" s="16">
        <v>2.23</v>
      </c>
      <c r="K67" s="16">
        <v>2.23</v>
      </c>
      <c r="O67" s="3"/>
      <c r="P67" s="52">
        <f t="shared" si="2"/>
        <v>0.15704371014558005</v>
      </c>
      <c r="Q67" s="36">
        <f t="shared" si="3"/>
        <v>0.36493656178691292</v>
      </c>
    </row>
    <row r="68" spans="1:17" ht="13" x14ac:dyDescent="0.15">
      <c r="A68" s="19"/>
      <c r="B68" s="16">
        <v>14</v>
      </c>
      <c r="C68" s="16">
        <v>6</v>
      </c>
      <c r="E68" s="43" t="s">
        <v>135</v>
      </c>
      <c r="F68" s="16">
        <v>5000</v>
      </c>
      <c r="G68" s="16">
        <v>0</v>
      </c>
      <c r="H68" s="3">
        <v>1</v>
      </c>
      <c r="I68" s="16" t="s">
        <v>129</v>
      </c>
      <c r="J68" s="16">
        <v>3.22</v>
      </c>
      <c r="K68" s="16">
        <v>3.22</v>
      </c>
      <c r="O68" s="3"/>
      <c r="P68" s="52">
        <f t="shared" si="2"/>
        <v>0.68706068833989242</v>
      </c>
      <c r="Q68" s="36">
        <f t="shared" si="3"/>
        <v>1.3332233454977862</v>
      </c>
    </row>
    <row r="69" spans="1:17" ht="13" x14ac:dyDescent="0.15">
      <c r="A69" s="19"/>
      <c r="B69" s="16">
        <v>14</v>
      </c>
      <c r="C69" s="16">
        <v>6</v>
      </c>
      <c r="E69" s="43" t="s">
        <v>135</v>
      </c>
      <c r="F69" s="16">
        <v>5000</v>
      </c>
      <c r="G69" s="16">
        <v>0</v>
      </c>
      <c r="H69" s="3">
        <v>2</v>
      </c>
      <c r="I69" s="16" t="s">
        <v>129</v>
      </c>
      <c r="J69" s="16">
        <v>1.29</v>
      </c>
      <c r="K69" s="16">
        <v>1.29</v>
      </c>
      <c r="O69" s="3"/>
      <c r="P69" s="52">
        <f t="shared" si="2"/>
        <v>-0.63262893435147061</v>
      </c>
      <c r="Q69" s="36">
        <f t="shared" si="3"/>
        <v>1.147681164691905</v>
      </c>
    </row>
    <row r="70" spans="1:17" ht="13" x14ac:dyDescent="0.15">
      <c r="A70" s="19"/>
      <c r="B70" s="16">
        <v>14</v>
      </c>
      <c r="C70" s="16">
        <v>6</v>
      </c>
      <c r="E70" s="43" t="s">
        <v>135</v>
      </c>
      <c r="F70" s="16">
        <v>5000</v>
      </c>
      <c r="G70" s="16">
        <v>0</v>
      </c>
      <c r="H70" s="3">
        <v>3</v>
      </c>
      <c r="I70" s="16" t="s">
        <v>129</v>
      </c>
      <c r="J70" s="16">
        <v>1.87</v>
      </c>
      <c r="K70" s="16">
        <v>1.87</v>
      </c>
      <c r="O70" s="3"/>
      <c r="P70" s="52">
        <f t="shared" si="2"/>
        <v>-9.6961729887087941E-2</v>
      </c>
      <c r="Q70" s="36">
        <f t="shared" si="3"/>
        <v>0.72270645360936758</v>
      </c>
    </row>
    <row r="71" spans="1:17" ht="13" x14ac:dyDescent="0.15">
      <c r="A71" s="19"/>
      <c r="B71" s="16">
        <v>14</v>
      </c>
      <c r="C71" s="16">
        <v>6</v>
      </c>
      <c r="E71" s="44" t="s">
        <v>136</v>
      </c>
      <c r="F71" s="16">
        <v>5000</v>
      </c>
      <c r="G71" s="16">
        <v>0</v>
      </c>
      <c r="H71" s="3">
        <v>1</v>
      </c>
      <c r="I71" s="16" t="s">
        <v>129</v>
      </c>
      <c r="J71" s="16">
        <v>1.94</v>
      </c>
      <c r="K71" s="16">
        <v>1.93</v>
      </c>
      <c r="O71" s="3"/>
      <c r="P71" s="52">
        <f t="shared" si="2"/>
        <v>0.25118468795605015</v>
      </c>
      <c r="Q71" s="36">
        <f t="shared" si="3"/>
        <v>-4.3943347587597104E-2</v>
      </c>
    </row>
    <row r="72" spans="1:17" ht="13" x14ac:dyDescent="0.15">
      <c r="A72" s="19"/>
      <c r="B72" s="16">
        <v>14</v>
      </c>
      <c r="C72" s="16">
        <v>6</v>
      </c>
      <c r="E72" s="44" t="s">
        <v>136</v>
      </c>
      <c r="F72" s="16">
        <v>5000</v>
      </c>
      <c r="G72" s="16">
        <v>0</v>
      </c>
      <c r="H72" s="3">
        <v>2</v>
      </c>
      <c r="I72" s="16" t="s">
        <v>129</v>
      </c>
      <c r="J72" s="16">
        <v>2.09</v>
      </c>
      <c r="K72" s="16">
        <v>2.09</v>
      </c>
      <c r="O72" s="3"/>
      <c r="P72" s="52">
        <f t="shared" si="2"/>
        <v>0.69613187665762843</v>
      </c>
      <c r="Q72" s="36">
        <f t="shared" si="3"/>
        <v>6.3502942306157828E-2</v>
      </c>
    </row>
    <row r="73" spans="1:17" ht="13" x14ac:dyDescent="0.15">
      <c r="A73" s="19"/>
      <c r="B73" s="16">
        <v>14</v>
      </c>
      <c r="C73" s="16">
        <v>6</v>
      </c>
      <c r="E73" s="44" t="s">
        <v>136</v>
      </c>
      <c r="F73" s="16">
        <v>5000</v>
      </c>
      <c r="G73" s="16">
        <v>0</v>
      </c>
      <c r="H73" s="3">
        <v>3</v>
      </c>
      <c r="I73" s="16" t="s">
        <v>129</v>
      </c>
      <c r="J73" s="16">
        <v>3.09</v>
      </c>
      <c r="K73" s="16">
        <v>3.09</v>
      </c>
      <c r="O73" s="3"/>
      <c r="P73" s="52">
        <f t="shared" si="2"/>
        <v>0.91391102328629104</v>
      </c>
      <c r="Q73" s="36">
        <f t="shared" si="3"/>
        <v>0.62760683812965001</v>
      </c>
    </row>
    <row r="74" spans="1:17" ht="13" x14ac:dyDescent="0.15">
      <c r="A74" s="19">
        <v>45843</v>
      </c>
      <c r="B74" s="16">
        <v>17</v>
      </c>
      <c r="C74" s="16">
        <v>9</v>
      </c>
      <c r="E74" s="16" t="s">
        <v>32</v>
      </c>
      <c r="F74" s="22">
        <v>2.2499999999999999E-4</v>
      </c>
      <c r="G74" s="22">
        <v>2.2499999999999999E-4</v>
      </c>
      <c r="H74" s="3">
        <v>1</v>
      </c>
      <c r="I74" s="16" t="s">
        <v>129</v>
      </c>
      <c r="J74" s="16">
        <v>14</v>
      </c>
      <c r="K74" s="16">
        <v>2</v>
      </c>
      <c r="L74" s="3"/>
      <c r="M74" s="3"/>
      <c r="N74" s="18"/>
      <c r="O74" s="3"/>
      <c r="P74" s="51">
        <f t="shared" si="2"/>
        <v>2.8073549220576042</v>
      </c>
      <c r="Q74" s="36">
        <f t="shared" si="3"/>
        <v>7.9545598469998335</v>
      </c>
    </row>
    <row r="75" spans="1:17" ht="13" x14ac:dyDescent="0.15">
      <c r="A75" s="19"/>
      <c r="B75" s="16">
        <v>17</v>
      </c>
      <c r="C75" s="16">
        <v>9</v>
      </c>
      <c r="E75" s="16" t="s">
        <v>32</v>
      </c>
      <c r="F75" s="22">
        <v>2.2499999999999999E-4</v>
      </c>
      <c r="G75" s="22">
        <v>2.2499999999999999E-4</v>
      </c>
      <c r="H75" s="3">
        <v>2</v>
      </c>
      <c r="I75" s="16" t="s">
        <v>129</v>
      </c>
      <c r="J75" s="16">
        <v>12.8</v>
      </c>
      <c r="K75" s="16">
        <v>2</v>
      </c>
      <c r="L75" s="3"/>
      <c r="M75" s="3"/>
      <c r="O75" s="3"/>
      <c r="P75" s="52">
        <f t="shared" si="2"/>
        <v>2.6780719051126378</v>
      </c>
      <c r="Q75" s="36">
        <f t="shared" si="3"/>
        <v>7.5958497321303717</v>
      </c>
    </row>
    <row r="76" spans="1:17" ht="13" x14ac:dyDescent="0.15">
      <c r="A76" s="19"/>
      <c r="B76" s="16">
        <v>17</v>
      </c>
      <c r="C76" s="16">
        <v>9</v>
      </c>
      <c r="E76" s="16" t="s">
        <v>32</v>
      </c>
      <c r="F76" s="22">
        <v>2.2499999999999999E-4</v>
      </c>
      <c r="G76" s="22">
        <v>2.2499999999999999E-4</v>
      </c>
      <c r="H76" s="3">
        <v>3</v>
      </c>
      <c r="I76" s="16" t="s">
        <v>129</v>
      </c>
      <c r="J76" s="16">
        <v>11.6</v>
      </c>
      <c r="K76" s="16">
        <v>2</v>
      </c>
      <c r="L76" s="3"/>
      <c r="M76" s="3"/>
      <c r="O76" s="3"/>
      <c r="P76" s="52">
        <f t="shared" si="2"/>
        <v>2.5360529002402097</v>
      </c>
      <c r="Q76" s="36">
        <f t="shared" si="3"/>
        <v>7.0160271270339045</v>
      </c>
    </row>
    <row r="77" spans="1:17" ht="13" x14ac:dyDescent="0.15">
      <c r="A77" s="19"/>
      <c r="B77" s="16">
        <v>17</v>
      </c>
      <c r="C77" s="16">
        <v>9</v>
      </c>
      <c r="E77" s="39" t="s">
        <v>130</v>
      </c>
      <c r="F77" s="16">
        <v>4000</v>
      </c>
      <c r="G77" s="16">
        <v>4000</v>
      </c>
      <c r="H77" s="3">
        <v>1</v>
      </c>
      <c r="I77" s="16" t="s">
        <v>129</v>
      </c>
      <c r="J77" s="16">
        <v>3.59</v>
      </c>
      <c r="K77" s="16">
        <v>2</v>
      </c>
      <c r="O77" s="3"/>
      <c r="P77" s="52">
        <f t="shared" si="2"/>
        <v>0.8439838440483266</v>
      </c>
      <c r="Q77" s="36">
        <f t="shared" si="3"/>
        <v>2.6919206370575322</v>
      </c>
    </row>
    <row r="78" spans="1:17" ht="13" x14ac:dyDescent="0.15">
      <c r="A78" s="19"/>
      <c r="B78" s="16">
        <v>17</v>
      </c>
      <c r="C78" s="16">
        <v>9</v>
      </c>
      <c r="E78" s="39" t="s">
        <v>130</v>
      </c>
      <c r="F78" s="16">
        <v>4000</v>
      </c>
      <c r="G78" s="16">
        <v>4000</v>
      </c>
      <c r="H78" s="3">
        <v>2</v>
      </c>
      <c r="I78" s="16" t="s">
        <v>129</v>
      </c>
      <c r="J78" s="16">
        <v>3.58</v>
      </c>
      <c r="K78" s="16">
        <v>2</v>
      </c>
      <c r="O78" s="3"/>
      <c r="P78" s="52">
        <f t="shared" si="2"/>
        <v>0.83995958748953181</v>
      </c>
      <c r="Q78" s="36">
        <f t="shared" si="3"/>
        <v>2.4895290635080798</v>
      </c>
    </row>
    <row r="79" spans="1:17" ht="13" x14ac:dyDescent="0.15">
      <c r="A79" s="19"/>
      <c r="B79" s="16">
        <v>17</v>
      </c>
      <c r="C79" s="16">
        <v>9</v>
      </c>
      <c r="E79" s="39" t="s">
        <v>130</v>
      </c>
      <c r="F79" s="16">
        <v>4000</v>
      </c>
      <c r="G79" s="16">
        <v>4000</v>
      </c>
      <c r="H79" s="3">
        <v>3</v>
      </c>
      <c r="I79" s="16" t="s">
        <v>129</v>
      </c>
      <c r="J79" s="16">
        <v>3.93</v>
      </c>
      <c r="K79" s="16">
        <v>2</v>
      </c>
      <c r="O79" s="3"/>
      <c r="P79" s="52">
        <f t="shared" si="2"/>
        <v>0.97452931248388197</v>
      </c>
      <c r="Q79" s="36">
        <f t="shared" si="3"/>
        <v>2.878415977235115</v>
      </c>
    </row>
    <row r="80" spans="1:17" ht="13" x14ac:dyDescent="0.15">
      <c r="A80" s="19"/>
      <c r="B80" s="16">
        <v>17</v>
      </c>
      <c r="C80" s="16">
        <v>9</v>
      </c>
      <c r="E80" s="40" t="s">
        <v>131</v>
      </c>
      <c r="F80" s="18">
        <v>8000</v>
      </c>
      <c r="G80" s="18">
        <v>6000</v>
      </c>
      <c r="H80" s="3">
        <v>1</v>
      </c>
      <c r="I80" s="16" t="s">
        <v>129</v>
      </c>
      <c r="J80" s="16">
        <v>4.1399999999999997</v>
      </c>
      <c r="K80" s="16">
        <v>2</v>
      </c>
      <c r="O80" s="3"/>
      <c r="P80" s="52">
        <f t="shared" si="2"/>
        <v>-6.1400544664143596E-2</v>
      </c>
      <c r="Q80" s="36">
        <f t="shared" si="3"/>
        <v>1.9371560384661879</v>
      </c>
    </row>
    <row r="81" spans="1:17" ht="13" x14ac:dyDescent="0.15">
      <c r="A81" s="19"/>
      <c r="B81" s="16">
        <v>17</v>
      </c>
      <c r="C81" s="16">
        <v>9</v>
      </c>
      <c r="E81" s="40" t="s">
        <v>131</v>
      </c>
      <c r="F81" s="18">
        <v>8000</v>
      </c>
      <c r="G81" s="18">
        <v>6000</v>
      </c>
      <c r="H81" s="3">
        <v>2</v>
      </c>
      <c r="I81" s="16" t="s">
        <v>129</v>
      </c>
      <c r="J81" s="16">
        <v>3.06</v>
      </c>
      <c r="K81" s="16">
        <v>2</v>
      </c>
      <c r="O81" s="3"/>
      <c r="P81" s="52">
        <f t="shared" si="2"/>
        <v>-0.18555565315607658</v>
      </c>
      <c r="Q81" s="36">
        <f t="shared" si="3"/>
        <v>1.3662802443250608</v>
      </c>
    </row>
    <row r="82" spans="1:17" ht="13" x14ac:dyDescent="0.15">
      <c r="A82" s="19"/>
      <c r="B82" s="16">
        <v>17</v>
      </c>
      <c r="C82" s="16">
        <v>9</v>
      </c>
      <c r="E82" s="40" t="s">
        <v>131</v>
      </c>
      <c r="F82" s="18">
        <v>8000</v>
      </c>
      <c r="G82" s="18">
        <v>6000</v>
      </c>
      <c r="H82" s="3">
        <v>3</v>
      </c>
      <c r="I82" s="16" t="s">
        <v>129</v>
      </c>
      <c r="J82" s="16">
        <v>3.8</v>
      </c>
      <c r="K82" s="16">
        <v>2</v>
      </c>
      <c r="O82" s="3"/>
      <c r="P82" s="52">
        <f t="shared" si="2"/>
        <v>-0.27563444261342734</v>
      </c>
      <c r="Q82" s="36">
        <f t="shared" si="3"/>
        <v>1.4420145655598877</v>
      </c>
    </row>
    <row r="83" spans="1:17" ht="13" x14ac:dyDescent="0.15">
      <c r="A83" s="19"/>
      <c r="B83" s="16">
        <v>17</v>
      </c>
      <c r="C83" s="16">
        <v>9</v>
      </c>
      <c r="E83" s="41" t="s">
        <v>132</v>
      </c>
      <c r="F83" s="16">
        <v>10000</v>
      </c>
      <c r="G83" s="16">
        <v>10000</v>
      </c>
      <c r="H83" s="3">
        <v>1</v>
      </c>
      <c r="I83" s="16" t="s">
        <v>129</v>
      </c>
      <c r="J83" s="16">
        <v>3.77</v>
      </c>
      <c r="K83" s="16">
        <v>2</v>
      </c>
      <c r="O83" s="3"/>
      <c r="P83" s="52">
        <f t="shared" si="2"/>
        <v>0.91456452349393969</v>
      </c>
      <c r="Q83" s="36">
        <f t="shared" si="3"/>
        <v>4.1283939192318737</v>
      </c>
    </row>
    <row r="84" spans="1:17" ht="13" x14ac:dyDescent="0.15">
      <c r="A84" s="19"/>
      <c r="B84" s="16">
        <v>17</v>
      </c>
      <c r="C84" s="16">
        <v>9</v>
      </c>
      <c r="E84" s="41" t="s">
        <v>132</v>
      </c>
      <c r="F84" s="16">
        <v>10000</v>
      </c>
      <c r="G84" s="16">
        <v>10000</v>
      </c>
      <c r="H84" s="3">
        <v>2</v>
      </c>
      <c r="I84" s="16" t="s">
        <v>129</v>
      </c>
      <c r="J84" s="16">
        <v>3.89</v>
      </c>
      <c r="K84" s="16">
        <v>2</v>
      </c>
      <c r="O84" s="3"/>
      <c r="P84" s="52">
        <f t="shared" si="2"/>
        <v>0.95977015521146736</v>
      </c>
      <c r="Q84" s="36">
        <f t="shared" si="3"/>
        <v>3.6058751956022106</v>
      </c>
    </row>
    <row r="85" spans="1:17" ht="13" x14ac:dyDescent="0.15">
      <c r="A85" s="19"/>
      <c r="B85" s="16">
        <v>17</v>
      </c>
      <c r="C85" s="16">
        <v>9</v>
      </c>
      <c r="E85" s="41" t="s">
        <v>132</v>
      </c>
      <c r="F85" s="16">
        <v>10000</v>
      </c>
      <c r="G85" s="16">
        <v>10000</v>
      </c>
      <c r="H85" s="3">
        <v>3</v>
      </c>
      <c r="I85" s="16" t="s">
        <v>129</v>
      </c>
      <c r="J85" s="16">
        <v>3.48</v>
      </c>
      <c r="K85" s="16">
        <v>2</v>
      </c>
      <c r="O85" s="3"/>
      <c r="P85" s="52">
        <f t="shared" si="2"/>
        <v>0.79908730607400358</v>
      </c>
      <c r="Q85" s="36">
        <f t="shared" si="3"/>
        <v>3.6621882350717456</v>
      </c>
    </row>
    <row r="86" spans="1:17" ht="13" x14ac:dyDescent="0.15">
      <c r="A86" s="19"/>
      <c r="B86" s="16">
        <v>17</v>
      </c>
      <c r="C86" s="16">
        <v>9</v>
      </c>
      <c r="E86" s="42" t="s">
        <v>133</v>
      </c>
      <c r="F86" s="18">
        <v>2000</v>
      </c>
      <c r="G86" s="18">
        <v>1200</v>
      </c>
      <c r="H86" s="3">
        <v>1</v>
      </c>
      <c r="I86" s="16" t="s">
        <v>129</v>
      </c>
      <c r="J86" s="16">
        <v>4.03</v>
      </c>
      <c r="K86" s="16">
        <v>2</v>
      </c>
      <c r="L86" s="3"/>
      <c r="M86" s="3"/>
      <c r="N86" s="18"/>
      <c r="O86" s="3"/>
      <c r="P86" s="52">
        <f t="shared" si="2"/>
        <v>0.87327631500330771</v>
      </c>
      <c r="Q86" s="36">
        <f t="shared" si="3"/>
        <v>0.96683649116564574</v>
      </c>
    </row>
    <row r="87" spans="1:17" ht="13" x14ac:dyDescent="0.15">
      <c r="A87" s="19"/>
      <c r="B87" s="16">
        <v>17</v>
      </c>
      <c r="C87" s="16">
        <v>9</v>
      </c>
      <c r="E87" s="42" t="s">
        <v>133</v>
      </c>
      <c r="F87" s="18">
        <v>2000</v>
      </c>
      <c r="G87" s="18">
        <v>1200</v>
      </c>
      <c r="H87" s="3">
        <v>2</v>
      </c>
      <c r="I87" s="16" t="s">
        <v>129</v>
      </c>
      <c r="J87" s="16">
        <v>2.1</v>
      </c>
      <c r="K87" s="16">
        <v>2.1</v>
      </c>
      <c r="L87" s="3"/>
      <c r="M87" s="3"/>
      <c r="O87" s="3"/>
      <c r="P87" s="52">
        <f t="shared" si="2"/>
        <v>0.26303440583379378</v>
      </c>
      <c r="Q87" s="36">
        <f t="shared" si="3"/>
        <v>0.30917618747851439</v>
      </c>
    </row>
    <row r="88" spans="1:17" ht="13" x14ac:dyDescent="0.15">
      <c r="A88" s="19"/>
      <c r="B88" s="16">
        <v>17</v>
      </c>
      <c r="C88" s="16">
        <v>9</v>
      </c>
      <c r="E88" s="42" t="s">
        <v>133</v>
      </c>
      <c r="F88" s="18">
        <v>2000</v>
      </c>
      <c r="G88" s="18">
        <v>1200</v>
      </c>
      <c r="H88" s="3">
        <v>3</v>
      </c>
      <c r="I88" s="16" t="s">
        <v>129</v>
      </c>
      <c r="J88" s="16">
        <v>2.42</v>
      </c>
      <c r="K88" s="16">
        <v>2.42</v>
      </c>
      <c r="L88" s="3"/>
      <c r="M88" s="3"/>
      <c r="O88" s="3"/>
      <c r="P88" s="52">
        <f t="shared" si="2"/>
        <v>0.11796333735428982</v>
      </c>
      <c r="Q88" s="36">
        <f t="shared" si="3"/>
        <v>0.48289989914120274</v>
      </c>
    </row>
    <row r="89" spans="1:17" ht="13" x14ac:dyDescent="0.15">
      <c r="A89" s="19"/>
      <c r="B89" s="16">
        <v>17</v>
      </c>
      <c r="C89" s="16">
        <v>9</v>
      </c>
      <c r="E89" s="43" t="s">
        <v>135</v>
      </c>
      <c r="F89" s="18">
        <v>5000</v>
      </c>
      <c r="G89" s="18">
        <v>2500</v>
      </c>
      <c r="H89" s="3">
        <v>1</v>
      </c>
      <c r="I89" s="16" t="s">
        <v>129</v>
      </c>
      <c r="J89" s="16">
        <v>2.79</v>
      </c>
      <c r="K89" s="16">
        <v>2.79</v>
      </c>
      <c r="O89" s="3"/>
      <c r="P89" s="52">
        <f t="shared" si="2"/>
        <v>-0.20679556628542956</v>
      </c>
      <c r="Q89" s="36">
        <f t="shared" si="3"/>
        <v>1.1264277792123567</v>
      </c>
    </row>
    <row r="90" spans="1:17" ht="13" x14ac:dyDescent="0.15">
      <c r="A90" s="19"/>
      <c r="B90" s="16">
        <v>17</v>
      </c>
      <c r="C90" s="16">
        <v>9</v>
      </c>
      <c r="E90" s="43" t="s">
        <v>135</v>
      </c>
      <c r="F90" s="18">
        <v>5000</v>
      </c>
      <c r="G90" s="18">
        <v>2500</v>
      </c>
      <c r="H90" s="3">
        <v>2</v>
      </c>
      <c r="I90" s="16" t="s">
        <v>129</v>
      </c>
      <c r="J90" s="16">
        <v>1.9</v>
      </c>
      <c r="K90" s="16">
        <v>1.9</v>
      </c>
      <c r="O90" s="3"/>
      <c r="P90" s="52">
        <f t="shared" si="2"/>
        <v>0.55862835290769375</v>
      </c>
      <c r="Q90" s="36">
        <f t="shared" si="3"/>
        <v>1.7063095175995988</v>
      </c>
    </row>
    <row r="91" spans="1:17" ht="13" x14ac:dyDescent="0.15">
      <c r="A91" s="19"/>
      <c r="B91" s="16">
        <v>17</v>
      </c>
      <c r="C91" s="16">
        <v>9</v>
      </c>
      <c r="E91" s="43" t="s">
        <v>135</v>
      </c>
      <c r="F91" s="18">
        <v>5000</v>
      </c>
      <c r="G91" s="18">
        <v>2500</v>
      </c>
      <c r="H91" s="3">
        <v>3</v>
      </c>
      <c r="I91" s="16" t="s">
        <v>129</v>
      </c>
      <c r="J91" s="16">
        <v>2.46</v>
      </c>
      <c r="K91" s="16">
        <v>2.46</v>
      </c>
      <c r="O91" s="3"/>
      <c r="P91" s="52">
        <f t="shared" si="2"/>
        <v>0.39562004545160318</v>
      </c>
      <c r="Q91" s="36">
        <f t="shared" si="3"/>
        <v>1.1183264990609707</v>
      </c>
    </row>
    <row r="92" spans="1:17" ht="13" x14ac:dyDescent="0.15">
      <c r="A92" s="19"/>
      <c r="B92" s="16">
        <v>17</v>
      </c>
      <c r="C92" s="16">
        <v>9</v>
      </c>
      <c r="E92" s="44" t="s">
        <v>136</v>
      </c>
      <c r="F92" s="18">
        <v>5000</v>
      </c>
      <c r="G92" s="18">
        <v>2500</v>
      </c>
      <c r="H92" s="3">
        <v>1</v>
      </c>
      <c r="I92" s="16" t="s">
        <v>129</v>
      </c>
      <c r="J92" s="16">
        <v>2.57</v>
      </c>
      <c r="K92" s="16">
        <v>2.57</v>
      </c>
      <c r="O92" s="3"/>
      <c r="P92" s="52">
        <f t="shared" si="2"/>
        <v>0.41316751192579781</v>
      </c>
      <c r="Q92" s="36">
        <f t="shared" si="3"/>
        <v>0.36922416433820071</v>
      </c>
    </row>
    <row r="93" spans="1:17" ht="13" x14ac:dyDescent="0.15">
      <c r="A93" s="19"/>
      <c r="B93" s="16">
        <v>17</v>
      </c>
      <c r="C93" s="16">
        <v>9</v>
      </c>
      <c r="E93" s="44" t="s">
        <v>136</v>
      </c>
      <c r="F93" s="18">
        <v>5000</v>
      </c>
      <c r="G93" s="18">
        <v>2500</v>
      </c>
      <c r="H93" s="3">
        <v>2</v>
      </c>
      <c r="I93" s="16" t="s">
        <v>129</v>
      </c>
      <c r="J93" s="16">
        <v>3.18</v>
      </c>
      <c r="K93" s="16">
        <v>2</v>
      </c>
      <c r="O93" s="3"/>
      <c r="P93" s="52">
        <f t="shared" si="2"/>
        <v>0.60552382320347276</v>
      </c>
      <c r="Q93" s="36">
        <f t="shared" si="3"/>
        <v>0.66902676550963058</v>
      </c>
    </row>
    <row r="94" spans="1:17" ht="13" x14ac:dyDescent="0.15">
      <c r="A94" s="19"/>
      <c r="B94" s="16">
        <v>17</v>
      </c>
      <c r="C94" s="16">
        <v>9</v>
      </c>
      <c r="E94" s="44" t="s">
        <v>136</v>
      </c>
      <c r="F94" s="18">
        <v>5000</v>
      </c>
      <c r="G94" s="18">
        <v>2500</v>
      </c>
      <c r="H94" s="3">
        <v>3</v>
      </c>
      <c r="I94" s="16" t="s">
        <v>129</v>
      </c>
      <c r="J94" s="16">
        <v>5.6</v>
      </c>
      <c r="K94" s="16">
        <v>2</v>
      </c>
      <c r="O94" s="3"/>
      <c r="P94" s="53">
        <f t="shared" si="2"/>
        <v>0.85781998904059198</v>
      </c>
      <c r="Q94" s="36">
        <f t="shared" si="3"/>
        <v>1.485426827170242</v>
      </c>
    </row>
    <row r="95" spans="1:17" ht="13" x14ac:dyDescent="0.15">
      <c r="A95" s="19">
        <v>45846</v>
      </c>
      <c r="B95" s="16">
        <v>20</v>
      </c>
      <c r="C95" s="16">
        <v>12</v>
      </c>
      <c r="E95" s="16" t="s">
        <v>32</v>
      </c>
      <c r="F95" s="22">
        <v>2.2499999999999999E-4</v>
      </c>
      <c r="G95" s="22">
        <v>2.2499999999999999E-4</v>
      </c>
      <c r="H95" s="3">
        <v>1</v>
      </c>
      <c r="I95" s="16" t="s">
        <v>129</v>
      </c>
      <c r="J95" s="16">
        <v>6.64</v>
      </c>
      <c r="K95" s="3">
        <v>2</v>
      </c>
      <c r="O95" s="3"/>
      <c r="P95" s="16">
        <f t="shared" si="2"/>
        <v>1.7311832415721999</v>
      </c>
      <c r="Q95" s="36">
        <f t="shared" si="3"/>
        <v>9.6857430885720337</v>
      </c>
    </row>
    <row r="96" spans="1:17" ht="13" x14ac:dyDescent="0.15">
      <c r="A96" s="19"/>
      <c r="B96" s="16">
        <v>20</v>
      </c>
      <c r="C96" s="16">
        <v>12</v>
      </c>
      <c r="E96" s="16" t="s">
        <v>32</v>
      </c>
      <c r="F96" s="22">
        <v>2.2499999999999999E-4</v>
      </c>
      <c r="G96" s="22">
        <v>2.2499999999999999E-4</v>
      </c>
      <c r="H96" s="3">
        <v>2</v>
      </c>
      <c r="I96" s="16" t="s">
        <v>129</v>
      </c>
      <c r="J96" s="16">
        <v>7.28</v>
      </c>
      <c r="K96" s="3">
        <v>2</v>
      </c>
      <c r="O96" s="3"/>
      <c r="P96" s="16">
        <f t="shared" si="2"/>
        <v>1.8639384504239718</v>
      </c>
      <c r="Q96" s="36">
        <f t="shared" si="3"/>
        <v>9.4597881825543428</v>
      </c>
    </row>
    <row r="97" spans="1:17" ht="13" x14ac:dyDescent="0.15">
      <c r="A97" s="19"/>
      <c r="B97" s="16">
        <v>20</v>
      </c>
      <c r="C97" s="16">
        <v>12</v>
      </c>
      <c r="E97" s="16" t="s">
        <v>32</v>
      </c>
      <c r="F97" s="22">
        <v>2.2499999999999999E-4</v>
      </c>
      <c r="G97" s="22">
        <v>2.2499999999999999E-4</v>
      </c>
      <c r="H97" s="3">
        <v>3</v>
      </c>
      <c r="I97" s="16" t="s">
        <v>129</v>
      </c>
      <c r="J97" s="16">
        <v>7.63</v>
      </c>
      <c r="K97" s="3">
        <v>2</v>
      </c>
      <c r="O97" s="3"/>
      <c r="P97" s="16">
        <f t="shared" si="2"/>
        <v>1.9316830570598058</v>
      </c>
      <c r="Q97" s="36">
        <f t="shared" si="3"/>
        <v>8.9477101840937099</v>
      </c>
    </row>
    <row r="98" spans="1:17" ht="13" x14ac:dyDescent="0.15">
      <c r="A98" s="19"/>
      <c r="B98" s="16">
        <v>20</v>
      </c>
      <c r="C98" s="16">
        <v>12</v>
      </c>
      <c r="E98" s="39" t="s">
        <v>130</v>
      </c>
      <c r="F98" s="16">
        <v>4000</v>
      </c>
      <c r="G98" s="16">
        <v>2000</v>
      </c>
      <c r="H98" s="3">
        <v>1</v>
      </c>
      <c r="I98" s="16" t="s">
        <v>129</v>
      </c>
      <c r="J98" s="16">
        <v>2.89</v>
      </c>
      <c r="K98" s="3">
        <v>2</v>
      </c>
      <c r="O98" s="3"/>
      <c r="P98" s="16">
        <f t="shared" si="2"/>
        <v>0.53106949272595416</v>
      </c>
      <c r="Q98" s="36">
        <f t="shared" si="3"/>
        <v>3.2229901297834864</v>
      </c>
    </row>
    <row r="99" spans="1:17" ht="13" x14ac:dyDescent="0.15">
      <c r="A99" s="19"/>
      <c r="B99" s="16">
        <v>20</v>
      </c>
      <c r="C99" s="16">
        <v>12</v>
      </c>
      <c r="E99" s="39" t="s">
        <v>130</v>
      </c>
      <c r="F99" s="16">
        <v>4000</v>
      </c>
      <c r="G99" s="16">
        <v>2000</v>
      </c>
      <c r="H99" s="3">
        <v>2</v>
      </c>
      <c r="I99" s="16" t="s">
        <v>129</v>
      </c>
      <c r="J99" s="16">
        <v>3.52</v>
      </c>
      <c r="K99" s="3">
        <v>2</v>
      </c>
      <c r="O99" s="3"/>
      <c r="P99" s="16">
        <f t="shared" si="2"/>
        <v>0.81557542886257262</v>
      </c>
      <c r="Q99" s="36">
        <f t="shared" si="3"/>
        <v>3.3051044923706523</v>
      </c>
    </row>
    <row r="100" spans="1:17" ht="13" x14ac:dyDescent="0.15">
      <c r="A100" s="19"/>
      <c r="B100" s="16">
        <v>20</v>
      </c>
      <c r="C100" s="16">
        <v>12</v>
      </c>
      <c r="E100" s="39" t="s">
        <v>130</v>
      </c>
      <c r="F100" s="16">
        <v>4000</v>
      </c>
      <c r="G100" s="16">
        <v>2000</v>
      </c>
      <c r="H100" s="3">
        <v>3</v>
      </c>
      <c r="I100" s="16" t="s">
        <v>129</v>
      </c>
      <c r="J100" s="16">
        <v>3.57</v>
      </c>
      <c r="K100" s="3">
        <v>2</v>
      </c>
      <c r="O100" s="3"/>
      <c r="P100" s="16">
        <f t="shared" si="2"/>
        <v>0.83592407425437487</v>
      </c>
      <c r="Q100" s="36">
        <f t="shared" si="3"/>
        <v>3.71434005148949</v>
      </c>
    </row>
    <row r="101" spans="1:17" ht="13" x14ac:dyDescent="0.15">
      <c r="A101" s="19"/>
      <c r="B101" s="16">
        <v>20</v>
      </c>
      <c r="C101" s="16">
        <v>12</v>
      </c>
      <c r="E101" s="40" t="s">
        <v>131</v>
      </c>
      <c r="F101" s="18">
        <v>6000</v>
      </c>
      <c r="G101" s="18">
        <v>0</v>
      </c>
      <c r="H101" s="3">
        <v>1</v>
      </c>
      <c r="I101" s="16" t="s">
        <v>129</v>
      </c>
      <c r="J101" s="16">
        <v>2.2799999999999998</v>
      </c>
      <c r="K101" s="3">
        <v>2</v>
      </c>
      <c r="O101" s="3"/>
      <c r="P101" s="16">
        <f t="shared" si="2"/>
        <v>0.18903382439001684</v>
      </c>
      <c r="Q101" s="36">
        <f t="shared" si="3"/>
        <v>2.1261898628562048</v>
      </c>
    </row>
    <row r="102" spans="1:17" ht="13" x14ac:dyDescent="0.15">
      <c r="A102" s="19"/>
      <c r="B102" s="16">
        <v>20</v>
      </c>
      <c r="C102" s="16">
        <v>12</v>
      </c>
      <c r="E102" s="40" t="s">
        <v>131</v>
      </c>
      <c r="F102" s="18">
        <v>6000</v>
      </c>
      <c r="G102" s="18">
        <v>0</v>
      </c>
      <c r="H102" s="3">
        <v>2</v>
      </c>
      <c r="I102" s="16" t="s">
        <v>129</v>
      </c>
      <c r="J102" s="16">
        <v>2.86</v>
      </c>
      <c r="K102" s="3">
        <v>2</v>
      </c>
      <c r="O102" s="3"/>
      <c r="P102" s="16">
        <f t="shared" si="2"/>
        <v>0.51601514700366469</v>
      </c>
      <c r="Q102" s="36">
        <f t="shared" si="3"/>
        <v>1.8822953913287255</v>
      </c>
    </row>
    <row r="103" spans="1:17" ht="13" x14ac:dyDescent="0.15">
      <c r="A103" s="19"/>
      <c r="B103" s="16">
        <v>20</v>
      </c>
      <c r="C103" s="16">
        <v>12</v>
      </c>
      <c r="E103" s="40" t="s">
        <v>131</v>
      </c>
      <c r="F103" s="18">
        <v>6000</v>
      </c>
      <c r="G103" s="18">
        <v>0</v>
      </c>
      <c r="H103" s="3">
        <v>3</v>
      </c>
      <c r="I103" s="16" t="s">
        <v>129</v>
      </c>
      <c r="J103" s="16">
        <v>2.91</v>
      </c>
      <c r="K103" s="3">
        <v>2</v>
      </c>
      <c r="O103" s="3"/>
      <c r="P103" s="16">
        <f t="shared" si="2"/>
        <v>0.54101915313355931</v>
      </c>
      <c r="Q103" s="36">
        <f t="shared" si="3"/>
        <v>1.983033718693447</v>
      </c>
    </row>
    <row r="104" spans="1:17" ht="13" x14ac:dyDescent="0.15">
      <c r="A104" s="19"/>
      <c r="B104" s="16">
        <v>20</v>
      </c>
      <c r="C104" s="16">
        <v>12</v>
      </c>
      <c r="E104" s="41" t="s">
        <v>132</v>
      </c>
      <c r="F104" s="16">
        <v>10000</v>
      </c>
      <c r="G104" s="16">
        <v>10000</v>
      </c>
      <c r="H104" s="3">
        <v>1</v>
      </c>
      <c r="I104" s="16" t="s">
        <v>129</v>
      </c>
      <c r="J104" s="16">
        <v>5.0599999999999996</v>
      </c>
      <c r="K104" s="3">
        <v>2</v>
      </c>
      <c r="L104" s="20"/>
      <c r="O104" s="3"/>
      <c r="P104" s="16">
        <f t="shared" si="2"/>
        <v>1.3391373849195853</v>
      </c>
      <c r="Q104" s="36">
        <f t="shared" si="3"/>
        <v>5.4675313041514588</v>
      </c>
    </row>
    <row r="105" spans="1:17" ht="13" x14ac:dyDescent="0.15">
      <c r="A105" s="19"/>
      <c r="B105" s="16">
        <v>20</v>
      </c>
      <c r="C105" s="16">
        <v>12</v>
      </c>
      <c r="E105" s="41" t="s">
        <v>132</v>
      </c>
      <c r="F105" s="16">
        <v>10000</v>
      </c>
      <c r="G105" s="16">
        <v>10000</v>
      </c>
      <c r="H105" s="3">
        <v>2</v>
      </c>
      <c r="I105" s="16" t="s">
        <v>129</v>
      </c>
      <c r="J105" s="16">
        <v>4.7</v>
      </c>
      <c r="K105" s="3">
        <v>2</v>
      </c>
      <c r="L105" s="20"/>
      <c r="O105" s="3"/>
      <c r="P105" s="16">
        <f t="shared" si="2"/>
        <v>1.232660756790275</v>
      </c>
      <c r="Q105" s="36">
        <f t="shared" si="3"/>
        <v>4.8385359523924851</v>
      </c>
    </row>
    <row r="106" spans="1:17" ht="13" x14ac:dyDescent="0.15">
      <c r="A106" s="19"/>
      <c r="B106" s="16">
        <v>20</v>
      </c>
      <c r="C106" s="16">
        <v>12</v>
      </c>
      <c r="E106" s="41" t="s">
        <v>132</v>
      </c>
      <c r="F106" s="16">
        <v>10000</v>
      </c>
      <c r="G106" s="16">
        <v>10000</v>
      </c>
      <c r="H106" s="3">
        <v>3</v>
      </c>
      <c r="I106" s="16" t="s">
        <v>129</v>
      </c>
      <c r="J106" s="16">
        <v>3.89</v>
      </c>
      <c r="K106" s="3">
        <v>2</v>
      </c>
      <c r="L106" s="20"/>
      <c r="O106" s="3"/>
      <c r="P106" s="16">
        <f t="shared" si="2"/>
        <v>0.95977015521146736</v>
      </c>
      <c r="Q106" s="36">
        <f t="shared" si="3"/>
        <v>4.6219583902832131</v>
      </c>
    </row>
    <row r="107" spans="1:17" ht="13" x14ac:dyDescent="0.15">
      <c r="A107" s="19"/>
      <c r="B107" s="16">
        <v>20</v>
      </c>
      <c r="C107" s="16">
        <v>12</v>
      </c>
      <c r="E107" s="42" t="s">
        <v>133</v>
      </c>
      <c r="F107" s="18">
        <v>1200</v>
      </c>
      <c r="G107" s="18">
        <v>1500</v>
      </c>
      <c r="H107" s="3">
        <v>1</v>
      </c>
      <c r="I107" s="16" t="s">
        <v>129</v>
      </c>
      <c r="J107" s="16">
        <v>4.7</v>
      </c>
      <c r="K107" s="16">
        <v>2</v>
      </c>
      <c r="P107" s="16">
        <f t="shared" si="2"/>
        <v>1.232660756790275</v>
      </c>
      <c r="Q107" s="36">
        <f t="shared" si="3"/>
        <v>2.1994972479559207</v>
      </c>
    </row>
    <row r="108" spans="1:17" ht="13" x14ac:dyDescent="0.15">
      <c r="A108" s="19"/>
      <c r="B108" s="16">
        <v>20</v>
      </c>
      <c r="C108" s="16">
        <v>12</v>
      </c>
      <c r="E108" s="42" t="s">
        <v>133</v>
      </c>
      <c r="F108" s="18">
        <v>1200</v>
      </c>
      <c r="G108" s="18">
        <v>1500</v>
      </c>
      <c r="H108" s="3">
        <v>2</v>
      </c>
      <c r="I108" s="16" t="s">
        <v>129</v>
      </c>
      <c r="J108" s="16">
        <v>4.8</v>
      </c>
      <c r="K108" s="16">
        <v>2</v>
      </c>
      <c r="P108" s="16">
        <f t="shared" si="2"/>
        <v>1.1926450779423958</v>
      </c>
      <c r="Q108" s="36">
        <f t="shared" si="3"/>
        <v>1.5018212654209102</v>
      </c>
    </row>
    <row r="109" spans="1:17" ht="13" x14ac:dyDescent="0.15">
      <c r="A109" s="19"/>
      <c r="B109" s="16">
        <v>20</v>
      </c>
      <c r="C109" s="16">
        <v>12</v>
      </c>
      <c r="E109" s="42" t="s">
        <v>133</v>
      </c>
      <c r="F109" s="18">
        <v>1200</v>
      </c>
      <c r="G109" s="18">
        <v>1500</v>
      </c>
      <c r="H109" s="3">
        <v>3</v>
      </c>
      <c r="I109" s="16" t="s">
        <v>129</v>
      </c>
      <c r="J109" s="16">
        <v>5.36</v>
      </c>
      <c r="K109" s="16">
        <v>2</v>
      </c>
      <c r="P109" s="16">
        <f t="shared" si="2"/>
        <v>1.1472259531831781</v>
      </c>
      <c r="Q109" s="36">
        <f t="shared" si="3"/>
        <v>1.6301258523243809</v>
      </c>
    </row>
    <row r="110" spans="1:17" ht="13" x14ac:dyDescent="0.15">
      <c r="A110" s="19"/>
      <c r="B110" s="16">
        <v>20</v>
      </c>
      <c r="C110" s="16">
        <v>12</v>
      </c>
      <c r="E110" s="43" t="s">
        <v>135</v>
      </c>
      <c r="F110" s="18">
        <v>2500</v>
      </c>
      <c r="G110" s="18">
        <v>2500</v>
      </c>
      <c r="H110" s="3">
        <v>1</v>
      </c>
      <c r="I110" s="16" t="s">
        <v>129</v>
      </c>
      <c r="J110" s="16">
        <v>3.94</v>
      </c>
      <c r="K110" s="16">
        <v>2</v>
      </c>
      <c r="P110" s="16">
        <f t="shared" si="2"/>
        <v>0.49793050762718866</v>
      </c>
      <c r="Q110" s="36">
        <f t="shared" si="3"/>
        <v>1.6243582868395454</v>
      </c>
    </row>
    <row r="111" spans="1:17" ht="13" x14ac:dyDescent="0.15">
      <c r="A111" s="19"/>
      <c r="B111" s="16">
        <v>20</v>
      </c>
      <c r="C111" s="16">
        <v>12</v>
      </c>
      <c r="E111" s="43" t="s">
        <v>135</v>
      </c>
      <c r="F111" s="18">
        <v>2500</v>
      </c>
      <c r="G111" s="18">
        <v>2500</v>
      </c>
      <c r="H111" s="3">
        <v>2</v>
      </c>
      <c r="I111" s="16" t="s">
        <v>129</v>
      </c>
      <c r="J111" s="16">
        <v>1.73</v>
      </c>
      <c r="K111" s="16">
        <v>1.73</v>
      </c>
      <c r="P111" s="16">
        <f t="shared" si="2"/>
        <v>-0.13522738069422313</v>
      </c>
      <c r="Q111" s="36">
        <f t="shared" si="3"/>
        <v>1.5710821369053756</v>
      </c>
    </row>
    <row r="112" spans="1:17" ht="13" x14ac:dyDescent="0.15">
      <c r="A112" s="19"/>
      <c r="B112" s="16">
        <v>20</v>
      </c>
      <c r="C112" s="16">
        <v>12</v>
      </c>
      <c r="E112" s="43" t="s">
        <v>135</v>
      </c>
      <c r="F112" s="18">
        <v>2500</v>
      </c>
      <c r="G112" s="18">
        <v>2500</v>
      </c>
      <c r="H112" s="3">
        <v>3</v>
      </c>
      <c r="I112" s="16" t="s">
        <v>129</v>
      </c>
      <c r="J112" s="16">
        <v>4.5199999999999996</v>
      </c>
      <c r="K112" s="16">
        <v>2</v>
      </c>
      <c r="P112" s="16">
        <f t="shared" si="2"/>
        <v>0.87766445707594765</v>
      </c>
      <c r="Q112" s="36">
        <f t="shared" si="3"/>
        <v>1.9959909561369185</v>
      </c>
    </row>
    <row r="113" spans="1:17" ht="13" x14ac:dyDescent="0.15">
      <c r="A113" s="19"/>
      <c r="B113" s="16">
        <v>20</v>
      </c>
      <c r="C113" s="16">
        <v>12</v>
      </c>
      <c r="E113" s="44" t="s">
        <v>136</v>
      </c>
      <c r="F113" s="18">
        <v>5000</v>
      </c>
      <c r="G113" s="18">
        <v>0</v>
      </c>
      <c r="H113" s="3">
        <v>1</v>
      </c>
      <c r="I113" s="16" t="s">
        <v>129</v>
      </c>
      <c r="J113" s="16">
        <v>1.83</v>
      </c>
      <c r="K113" s="16">
        <v>1.83</v>
      </c>
      <c r="P113" s="16">
        <f t="shared" si="2"/>
        <v>-0.48992471090983564</v>
      </c>
      <c r="Q113" s="36">
        <f t="shared" si="3"/>
        <v>-0.12070054657163493</v>
      </c>
    </row>
    <row r="114" spans="1:17" ht="13" x14ac:dyDescent="0.15">
      <c r="A114" s="19"/>
      <c r="B114" s="16">
        <v>20</v>
      </c>
      <c r="C114" s="16">
        <v>12</v>
      </c>
      <c r="E114" s="44" t="s">
        <v>136</v>
      </c>
      <c r="F114" s="18">
        <v>5000</v>
      </c>
      <c r="G114" s="18">
        <v>0</v>
      </c>
      <c r="H114" s="3">
        <v>2</v>
      </c>
      <c r="I114" s="16" t="s">
        <v>129</v>
      </c>
      <c r="J114" s="16">
        <v>1.68</v>
      </c>
      <c r="K114" s="16">
        <v>1.68</v>
      </c>
      <c r="P114" s="16">
        <f t="shared" si="2"/>
        <v>-0.2515387669959645</v>
      </c>
      <c r="Q114" s="36">
        <f t="shared" si="3"/>
        <v>0.41748799851366608</v>
      </c>
    </row>
    <row r="115" spans="1:17" ht="13" x14ac:dyDescent="0.15">
      <c r="A115" s="19"/>
      <c r="B115" s="16">
        <v>20</v>
      </c>
      <c r="C115" s="16">
        <v>12</v>
      </c>
      <c r="E115" s="44" t="s">
        <v>136</v>
      </c>
      <c r="F115" s="18">
        <v>5000</v>
      </c>
      <c r="G115" s="18">
        <v>0</v>
      </c>
      <c r="H115" s="3">
        <v>3</v>
      </c>
      <c r="I115" s="16" t="s">
        <v>129</v>
      </c>
      <c r="J115" s="16">
        <v>1.25</v>
      </c>
      <c r="K115" s="16">
        <v>1.25</v>
      </c>
      <c r="P115" s="16">
        <f t="shared" si="2"/>
        <v>-0.67807190511263771</v>
      </c>
      <c r="Q115" s="36">
        <f t="shared" si="3"/>
        <v>0.80735492205760429</v>
      </c>
    </row>
    <row r="116" spans="1:17" ht="13" x14ac:dyDescent="0.15">
      <c r="A116" s="32">
        <v>45849</v>
      </c>
      <c r="B116" s="33">
        <v>23</v>
      </c>
      <c r="C116" s="33">
        <v>15</v>
      </c>
      <c r="D116" s="33"/>
      <c r="E116" s="33" t="s">
        <v>32</v>
      </c>
      <c r="F116" s="34">
        <v>2.2499999999999999E-4</v>
      </c>
      <c r="G116" s="34">
        <v>2.2499999999999999E-4</v>
      </c>
      <c r="H116" s="35">
        <v>1</v>
      </c>
      <c r="I116" s="33" t="s">
        <v>129</v>
      </c>
      <c r="J116" s="33">
        <v>10.8</v>
      </c>
      <c r="K116" s="33">
        <v>2</v>
      </c>
      <c r="L116" s="33"/>
      <c r="M116" s="33"/>
      <c r="N116" s="33"/>
      <c r="P116" s="33">
        <f t="shared" si="2"/>
        <v>2.4329594072761065</v>
      </c>
      <c r="Q116" s="36">
        <f t="shared" si="3"/>
        <v>12.11870249584814</v>
      </c>
    </row>
    <row r="117" spans="1:17" ht="13" x14ac:dyDescent="0.15">
      <c r="A117" s="52"/>
      <c r="B117" s="16">
        <v>23</v>
      </c>
      <c r="C117" s="16">
        <v>15</v>
      </c>
      <c r="E117" s="16" t="s">
        <v>32</v>
      </c>
      <c r="F117" s="22">
        <v>2.2499999999999999E-4</v>
      </c>
      <c r="G117" s="22">
        <v>2.2499999999999999E-4</v>
      </c>
      <c r="H117" s="3">
        <v>2</v>
      </c>
      <c r="I117" s="16" t="s">
        <v>129</v>
      </c>
      <c r="J117" s="16">
        <v>11.1</v>
      </c>
      <c r="K117" s="16">
        <v>2</v>
      </c>
      <c r="P117" s="33">
        <f t="shared" si="2"/>
        <v>2.4724877714627436</v>
      </c>
      <c r="Q117" s="36">
        <f t="shared" si="3"/>
        <v>11.932275954017086</v>
      </c>
    </row>
    <row r="118" spans="1:17" ht="13" x14ac:dyDescent="0.15">
      <c r="A118" s="52"/>
      <c r="B118" s="16">
        <v>23</v>
      </c>
      <c r="C118" s="16">
        <v>15</v>
      </c>
      <c r="E118" s="16" t="s">
        <v>32</v>
      </c>
      <c r="F118" s="22">
        <v>2.2499999999999999E-4</v>
      </c>
      <c r="G118" s="22">
        <v>2.2499999999999999E-4</v>
      </c>
      <c r="H118" s="3">
        <v>3</v>
      </c>
      <c r="I118" s="16" t="s">
        <v>129</v>
      </c>
      <c r="J118" s="16">
        <v>10.6</v>
      </c>
      <c r="K118" s="16">
        <v>2</v>
      </c>
      <c r="P118" s="33">
        <f t="shared" si="2"/>
        <v>2.4059923596758366</v>
      </c>
      <c r="Q118" s="36">
        <f t="shared" si="3"/>
        <v>11.353702543769547</v>
      </c>
    </row>
    <row r="119" spans="1:17" ht="13" x14ac:dyDescent="0.15">
      <c r="A119" s="52"/>
      <c r="B119" s="16">
        <v>23</v>
      </c>
      <c r="C119" s="16">
        <v>15</v>
      </c>
      <c r="E119" s="39" t="s">
        <v>130</v>
      </c>
      <c r="F119" s="18">
        <v>4000</v>
      </c>
      <c r="G119" s="18">
        <v>2000</v>
      </c>
      <c r="H119" s="3">
        <v>1</v>
      </c>
      <c r="I119" s="16" t="s">
        <v>129</v>
      </c>
      <c r="J119" s="16">
        <v>4.1399999999999997</v>
      </c>
      <c r="K119" s="16">
        <v>2</v>
      </c>
      <c r="P119" s="33">
        <f t="shared" si="2"/>
        <v>1.0496307677246004</v>
      </c>
      <c r="Q119" s="36">
        <f t="shared" si="3"/>
        <v>4.2726208975080873</v>
      </c>
    </row>
    <row r="120" spans="1:17" ht="13" x14ac:dyDescent="0.15">
      <c r="A120" s="52"/>
      <c r="B120" s="16">
        <v>23</v>
      </c>
      <c r="C120" s="16">
        <v>15</v>
      </c>
      <c r="E120" s="39" t="s">
        <v>130</v>
      </c>
      <c r="F120" s="18">
        <v>4000</v>
      </c>
      <c r="G120" s="18">
        <v>2000</v>
      </c>
      <c r="H120" s="3">
        <v>2</v>
      </c>
      <c r="I120" s="16" t="s">
        <v>129</v>
      </c>
      <c r="J120" s="16">
        <v>3.4</v>
      </c>
      <c r="K120" s="16">
        <v>2</v>
      </c>
      <c r="P120" s="33">
        <f t="shared" si="2"/>
        <v>0.76553474636297703</v>
      </c>
      <c r="Q120" s="36">
        <f t="shared" si="3"/>
        <v>4.0706392387336292</v>
      </c>
    </row>
    <row r="121" spans="1:17" ht="13" x14ac:dyDescent="0.15">
      <c r="A121" s="52"/>
      <c r="B121" s="16">
        <v>23</v>
      </c>
      <c r="C121" s="16">
        <v>15</v>
      </c>
      <c r="E121" s="39" t="s">
        <v>130</v>
      </c>
      <c r="F121" s="18">
        <v>4000</v>
      </c>
      <c r="G121" s="18">
        <v>2000</v>
      </c>
      <c r="H121" s="3">
        <v>3</v>
      </c>
      <c r="I121" s="16" t="s">
        <v>129</v>
      </c>
      <c r="J121" s="16">
        <v>4.66</v>
      </c>
      <c r="K121" s="16">
        <v>2</v>
      </c>
      <c r="P121" s="33">
        <f t="shared" si="2"/>
        <v>1.2203299548795556</v>
      </c>
      <c r="Q121" s="36">
        <f t="shared" si="3"/>
        <v>4.9346700063690454</v>
      </c>
    </row>
    <row r="122" spans="1:17" ht="13" x14ac:dyDescent="0.15">
      <c r="A122" s="52"/>
      <c r="B122" s="16">
        <v>23</v>
      </c>
      <c r="C122" s="16">
        <v>15</v>
      </c>
      <c r="E122" s="40" t="s">
        <v>131</v>
      </c>
      <c r="F122" s="18">
        <v>8000</v>
      </c>
      <c r="G122" s="18">
        <v>6000</v>
      </c>
      <c r="H122" s="3">
        <v>1</v>
      </c>
      <c r="I122" s="16" t="s">
        <v>129</v>
      </c>
      <c r="J122" s="16">
        <v>4.28</v>
      </c>
      <c r="K122" s="16">
        <v>2</v>
      </c>
      <c r="P122" s="33">
        <f t="shared" si="2"/>
        <v>1.0976107966264224</v>
      </c>
      <c r="Q122" s="36">
        <f t="shared" si="3"/>
        <v>3.2238006594826274</v>
      </c>
    </row>
    <row r="123" spans="1:17" ht="13" x14ac:dyDescent="0.15">
      <c r="A123" s="52"/>
      <c r="B123" s="16">
        <v>23</v>
      </c>
      <c r="C123" s="16">
        <v>15</v>
      </c>
      <c r="E123" s="40" t="s">
        <v>131</v>
      </c>
      <c r="F123" s="18">
        <v>8000</v>
      </c>
      <c r="G123" s="18">
        <v>6000</v>
      </c>
      <c r="H123" s="3">
        <v>2</v>
      </c>
      <c r="I123" s="16" t="s">
        <v>129</v>
      </c>
      <c r="J123" s="16">
        <v>4.12</v>
      </c>
      <c r="K123" s="16">
        <v>2</v>
      </c>
      <c r="P123" s="33">
        <f t="shared" si="2"/>
        <v>1.0426443374084939</v>
      </c>
      <c r="Q123" s="36">
        <f t="shared" si="3"/>
        <v>2.9249397287372192</v>
      </c>
    </row>
    <row r="124" spans="1:17" ht="13" x14ac:dyDescent="0.15">
      <c r="A124" s="52"/>
      <c r="B124" s="16">
        <v>23</v>
      </c>
      <c r="C124" s="16">
        <v>15</v>
      </c>
      <c r="E124" s="40" t="s">
        <v>131</v>
      </c>
      <c r="F124" s="18">
        <v>8000</v>
      </c>
      <c r="G124" s="18">
        <v>6000</v>
      </c>
      <c r="H124" s="3">
        <v>3</v>
      </c>
      <c r="I124" s="16" t="s">
        <v>129</v>
      </c>
      <c r="J124" s="16">
        <v>4.32</v>
      </c>
      <c r="K124" s="16">
        <v>2</v>
      </c>
      <c r="P124" s="33">
        <f t="shared" si="2"/>
        <v>1.1110313123887441</v>
      </c>
      <c r="Q124" s="36">
        <f t="shared" si="3"/>
        <v>3.0940650310821911</v>
      </c>
    </row>
    <row r="125" spans="1:17" ht="13" x14ac:dyDescent="0.15">
      <c r="A125" s="52"/>
      <c r="B125" s="16">
        <v>23</v>
      </c>
      <c r="C125" s="16">
        <v>15</v>
      </c>
      <c r="E125" s="41" t="s">
        <v>132</v>
      </c>
      <c r="F125" s="16">
        <v>10000</v>
      </c>
      <c r="G125" s="16">
        <v>10000</v>
      </c>
      <c r="H125" s="3">
        <v>1</v>
      </c>
      <c r="I125" s="16" t="s">
        <v>129</v>
      </c>
      <c r="J125" s="16">
        <v>4.76</v>
      </c>
      <c r="K125" s="16">
        <v>2</v>
      </c>
      <c r="P125" s="33">
        <f t="shared" si="2"/>
        <v>1.2509615735332189</v>
      </c>
      <c r="Q125" s="36">
        <f t="shared" si="3"/>
        <v>6.7184928776846782</v>
      </c>
    </row>
    <row r="126" spans="1:17" ht="13" x14ac:dyDescent="0.15">
      <c r="A126" s="52"/>
      <c r="B126" s="16">
        <v>23</v>
      </c>
      <c r="C126" s="16">
        <v>15</v>
      </c>
      <c r="E126" s="41" t="s">
        <v>132</v>
      </c>
      <c r="F126" s="16">
        <v>10000</v>
      </c>
      <c r="G126" s="16">
        <v>10000</v>
      </c>
      <c r="H126" s="3">
        <v>2</v>
      </c>
      <c r="I126" s="16" t="s">
        <v>129</v>
      </c>
      <c r="J126" s="16">
        <v>4.6399999999999997</v>
      </c>
      <c r="K126" s="16">
        <v>2</v>
      </c>
      <c r="P126" s="33">
        <f t="shared" si="2"/>
        <v>1.2141248053528473</v>
      </c>
      <c r="Q126" s="36">
        <f t="shared" si="3"/>
        <v>6.0526607577453326</v>
      </c>
    </row>
    <row r="127" spans="1:17" ht="13" x14ac:dyDescent="0.15">
      <c r="A127" s="52"/>
      <c r="B127" s="16">
        <v>23</v>
      </c>
      <c r="C127" s="16">
        <v>15</v>
      </c>
      <c r="E127" s="41" t="s">
        <v>132</v>
      </c>
      <c r="F127" s="16">
        <v>10000</v>
      </c>
      <c r="G127" s="16">
        <v>10000</v>
      </c>
      <c r="H127" s="3">
        <v>3</v>
      </c>
      <c r="I127" s="16" t="s">
        <v>129</v>
      </c>
      <c r="J127" s="16">
        <v>5.0599999999999996</v>
      </c>
      <c r="K127" s="16">
        <v>2</v>
      </c>
      <c r="P127" s="33">
        <f t="shared" si="2"/>
        <v>1.3391373849195853</v>
      </c>
      <c r="Q127" s="36">
        <f t="shared" si="3"/>
        <v>5.9610957752027982</v>
      </c>
    </row>
    <row r="128" spans="1:17" ht="13" x14ac:dyDescent="0.15">
      <c r="A128" s="52"/>
      <c r="B128" s="16">
        <v>23</v>
      </c>
      <c r="C128" s="16">
        <v>15</v>
      </c>
      <c r="E128" s="42" t="s">
        <v>133</v>
      </c>
      <c r="F128" s="18">
        <v>2000</v>
      </c>
      <c r="G128" s="18">
        <v>2000</v>
      </c>
      <c r="H128" s="3">
        <v>1</v>
      </c>
      <c r="I128" s="16" t="s">
        <v>129</v>
      </c>
      <c r="J128" s="16">
        <v>5.37</v>
      </c>
      <c r="K128" s="16">
        <v>2</v>
      </c>
      <c r="P128" s="33">
        <f t="shared" si="2"/>
        <v>1.4249220882106881</v>
      </c>
      <c r="Q128" s="36">
        <f t="shared" si="3"/>
        <v>3.6244193361666088</v>
      </c>
    </row>
    <row r="129" spans="1:17" ht="13" x14ac:dyDescent="0.15">
      <c r="A129" s="52"/>
      <c r="B129" s="16">
        <v>23</v>
      </c>
      <c r="C129" s="16">
        <v>15</v>
      </c>
      <c r="E129" s="42" t="s">
        <v>133</v>
      </c>
      <c r="F129" s="18">
        <v>2000</v>
      </c>
      <c r="G129" s="18">
        <v>2000</v>
      </c>
      <c r="H129" s="3">
        <v>2</v>
      </c>
      <c r="I129" s="16" t="s">
        <v>129</v>
      </c>
      <c r="J129" s="16">
        <v>5.92</v>
      </c>
      <c r="K129" s="16">
        <v>2</v>
      </c>
      <c r="P129" s="33">
        <f t="shared" si="2"/>
        <v>1.5655971758542251</v>
      </c>
      <c r="Q129" s="36">
        <f t="shared" si="3"/>
        <v>3.0674184412751355</v>
      </c>
    </row>
    <row r="130" spans="1:17" ht="13" x14ac:dyDescent="0.15">
      <c r="A130" s="52"/>
      <c r="B130" s="16">
        <v>23</v>
      </c>
      <c r="C130" s="16">
        <v>15</v>
      </c>
      <c r="E130" s="42" t="s">
        <v>133</v>
      </c>
      <c r="F130" s="18">
        <v>2000</v>
      </c>
      <c r="G130" s="18">
        <v>2000</v>
      </c>
      <c r="H130" s="3">
        <v>3</v>
      </c>
      <c r="I130" s="16" t="s">
        <v>129</v>
      </c>
      <c r="J130" s="16">
        <v>4.5999999999999996</v>
      </c>
      <c r="K130" s="16">
        <v>2</v>
      </c>
      <c r="P130" s="33">
        <f t="shared" si="2"/>
        <v>1.2016338611696504</v>
      </c>
      <c r="Q130" s="36">
        <f t="shared" si="3"/>
        <v>2.8317597134940313</v>
      </c>
    </row>
    <row r="131" spans="1:17" ht="13" x14ac:dyDescent="0.15">
      <c r="A131" s="52"/>
      <c r="B131" s="16">
        <v>23</v>
      </c>
      <c r="C131" s="16">
        <v>15</v>
      </c>
      <c r="E131" s="43" t="s">
        <v>135</v>
      </c>
      <c r="F131" s="18">
        <v>5000</v>
      </c>
      <c r="G131" s="18">
        <v>5000</v>
      </c>
      <c r="H131" s="3">
        <v>1</v>
      </c>
      <c r="I131" s="16" t="s">
        <v>129</v>
      </c>
      <c r="J131" s="16">
        <v>4.12</v>
      </c>
      <c r="K131" s="16">
        <v>2</v>
      </c>
      <c r="P131" s="33">
        <f t="shared" si="2"/>
        <v>1.0426443374084939</v>
      </c>
      <c r="Q131" s="36">
        <f t="shared" si="3"/>
        <v>2.6670026242480391</v>
      </c>
    </row>
    <row r="132" spans="1:17" ht="13" x14ac:dyDescent="0.15">
      <c r="A132" s="52"/>
      <c r="B132" s="16">
        <v>23</v>
      </c>
      <c r="C132" s="16">
        <v>15</v>
      </c>
      <c r="E132" s="43" t="s">
        <v>135</v>
      </c>
      <c r="F132" s="18">
        <v>5000</v>
      </c>
      <c r="G132" s="18">
        <v>5000</v>
      </c>
      <c r="H132" s="3">
        <v>2</v>
      </c>
      <c r="I132" s="16" t="s">
        <v>129</v>
      </c>
      <c r="J132" s="16">
        <v>3.02</v>
      </c>
      <c r="K132" s="16">
        <v>2</v>
      </c>
      <c r="P132" s="33">
        <f t="shared" si="2"/>
        <v>0.8037765116883544</v>
      </c>
      <c r="Q132" s="36">
        <f t="shared" si="3"/>
        <v>2.37485864859373</v>
      </c>
    </row>
    <row r="133" spans="1:17" ht="13" x14ac:dyDescent="0.15">
      <c r="A133" s="52"/>
      <c r="B133" s="16">
        <v>23</v>
      </c>
      <c r="C133" s="16">
        <v>15</v>
      </c>
      <c r="E133" s="43" t="s">
        <v>135</v>
      </c>
      <c r="F133" s="18">
        <v>5000</v>
      </c>
      <c r="G133" s="18">
        <v>5000</v>
      </c>
      <c r="H133" s="3">
        <v>3</v>
      </c>
      <c r="I133" s="16" t="s">
        <v>129</v>
      </c>
      <c r="J133" s="16">
        <v>3.96</v>
      </c>
      <c r="K133" s="16">
        <v>2</v>
      </c>
      <c r="P133" s="33">
        <f t="shared" si="2"/>
        <v>0.98550043030488488</v>
      </c>
      <c r="Q133" s="36">
        <f t="shared" si="3"/>
        <v>2.9814913864418031</v>
      </c>
    </row>
    <row r="134" spans="1:17" ht="13" x14ac:dyDescent="0.15">
      <c r="A134" s="52"/>
      <c r="B134" s="16">
        <v>23</v>
      </c>
      <c r="C134" s="16">
        <v>15</v>
      </c>
      <c r="E134" s="44" t="s">
        <v>136</v>
      </c>
      <c r="F134" s="18">
        <v>2500</v>
      </c>
      <c r="G134" s="18">
        <v>2500</v>
      </c>
      <c r="H134" s="3">
        <v>1</v>
      </c>
      <c r="I134" s="16" t="s">
        <v>129</v>
      </c>
      <c r="J134" s="16">
        <v>3.94</v>
      </c>
      <c r="K134" s="16">
        <v>2</v>
      </c>
      <c r="P134" s="33">
        <f t="shared" si="2"/>
        <v>1.1063519811723337</v>
      </c>
      <c r="Q134" s="36">
        <f t="shared" si="3"/>
        <v>0.98565143460069882</v>
      </c>
    </row>
    <row r="135" spans="1:17" ht="13" x14ac:dyDescent="0.15">
      <c r="A135" s="52"/>
      <c r="B135" s="16">
        <v>23</v>
      </c>
      <c r="C135" s="16">
        <v>15</v>
      </c>
      <c r="E135" s="44" t="s">
        <v>136</v>
      </c>
      <c r="F135" s="18">
        <v>2500</v>
      </c>
      <c r="G135" s="18">
        <v>2500</v>
      </c>
      <c r="H135" s="3">
        <v>2</v>
      </c>
      <c r="I135" s="16" t="s">
        <v>129</v>
      </c>
      <c r="J135" s="16">
        <v>3.88</v>
      </c>
      <c r="K135" s="16">
        <v>2</v>
      </c>
      <c r="P135" s="33">
        <f t="shared" si="2"/>
        <v>1.2075954194083676</v>
      </c>
      <c r="Q135" s="36">
        <f t="shared" si="3"/>
        <v>1.6250834179220337</v>
      </c>
    </row>
    <row r="136" spans="1:17" ht="13" x14ac:dyDescent="0.15">
      <c r="A136" s="53"/>
      <c r="B136" s="46">
        <v>23</v>
      </c>
      <c r="C136" s="46">
        <v>15</v>
      </c>
      <c r="D136" s="46"/>
      <c r="E136" s="47" t="s">
        <v>136</v>
      </c>
      <c r="F136" s="64">
        <v>2500</v>
      </c>
      <c r="G136" s="64">
        <v>2500</v>
      </c>
      <c r="H136" s="48">
        <v>3</v>
      </c>
      <c r="I136" s="46" t="s">
        <v>129</v>
      </c>
      <c r="J136" s="46">
        <v>2.65</v>
      </c>
      <c r="K136" s="46">
        <v>2</v>
      </c>
      <c r="L136" s="46"/>
      <c r="M136" s="46"/>
      <c r="N136" s="46"/>
      <c r="P136" s="33">
        <f t="shared" si="2"/>
        <v>1.0840642647884746</v>
      </c>
      <c r="Q136" s="36">
        <f t="shared" si="3"/>
        <v>1.891419186846079</v>
      </c>
    </row>
    <row r="137" spans="1:17" ht="13" x14ac:dyDescent="0.15">
      <c r="A137" s="19">
        <v>45851</v>
      </c>
      <c r="B137" s="16">
        <v>26</v>
      </c>
      <c r="C137" s="16">
        <v>18</v>
      </c>
      <c r="E137" s="33" t="s">
        <v>32</v>
      </c>
      <c r="F137" s="34">
        <v>2.2499999999999999E-4</v>
      </c>
      <c r="G137" s="34">
        <v>2.2499999999999999E-4</v>
      </c>
      <c r="H137" s="35">
        <v>1</v>
      </c>
      <c r="I137" s="33" t="s">
        <v>129</v>
      </c>
      <c r="J137" s="16">
        <v>9.6</v>
      </c>
      <c r="K137" s="16">
        <v>2</v>
      </c>
      <c r="P137" s="33">
        <f t="shared" si="2"/>
        <v>2.2630344058337939</v>
      </c>
      <c r="Q137" s="36">
        <f t="shared" si="3"/>
        <v>14.381736901681935</v>
      </c>
    </row>
    <row r="138" spans="1:17" ht="13" x14ac:dyDescent="0.15">
      <c r="B138" s="16">
        <v>26</v>
      </c>
      <c r="C138" s="16">
        <v>18</v>
      </c>
      <c r="E138" s="16" t="s">
        <v>32</v>
      </c>
      <c r="F138" s="22">
        <v>2.2499999999999999E-4</v>
      </c>
      <c r="G138" s="22">
        <v>2.2499999999999999E-4</v>
      </c>
      <c r="H138" s="3">
        <v>2</v>
      </c>
      <c r="I138" s="16" t="s">
        <v>129</v>
      </c>
      <c r="J138" s="16">
        <v>9.5299999999999994</v>
      </c>
      <c r="K138" s="16">
        <v>2</v>
      </c>
      <c r="P138" s="33">
        <f t="shared" si="2"/>
        <v>2.2524762141352173</v>
      </c>
      <c r="Q138" s="36">
        <f t="shared" si="3"/>
        <v>14.184752168152304</v>
      </c>
    </row>
    <row r="139" spans="1:17" ht="13" x14ac:dyDescent="0.15">
      <c r="B139" s="16">
        <v>26</v>
      </c>
      <c r="C139" s="16">
        <v>18</v>
      </c>
      <c r="E139" s="16" t="s">
        <v>32</v>
      </c>
      <c r="F139" s="22">
        <v>2.2499999999999999E-4</v>
      </c>
      <c r="G139" s="22">
        <v>2.2499999999999999E-4</v>
      </c>
      <c r="H139" s="3">
        <v>3</v>
      </c>
      <c r="I139" s="16" t="s">
        <v>129</v>
      </c>
      <c r="J139" s="16">
        <v>8.8699999999999992</v>
      </c>
      <c r="K139" s="16">
        <v>2</v>
      </c>
      <c r="P139" s="33">
        <f t="shared" si="2"/>
        <v>2.1489341045263393</v>
      </c>
      <c r="Q139" s="36">
        <f t="shared" si="3"/>
        <v>13.502636648295887</v>
      </c>
    </row>
    <row r="140" spans="1:17" ht="13" x14ac:dyDescent="0.15">
      <c r="B140" s="16">
        <v>26</v>
      </c>
      <c r="C140" s="16">
        <v>18</v>
      </c>
      <c r="E140" s="39" t="s">
        <v>130</v>
      </c>
      <c r="F140" s="18">
        <v>4000</v>
      </c>
      <c r="G140" s="18">
        <v>2000</v>
      </c>
      <c r="H140" s="3">
        <v>1</v>
      </c>
      <c r="I140" s="16" t="s">
        <v>129</v>
      </c>
      <c r="J140" s="16">
        <v>3.76</v>
      </c>
      <c r="K140" s="16">
        <v>2</v>
      </c>
      <c r="P140" s="33">
        <f t="shared" si="2"/>
        <v>0.91073266190291258</v>
      </c>
      <c r="Q140" s="36">
        <f t="shared" si="3"/>
        <v>5.1833535594109996</v>
      </c>
    </row>
    <row r="141" spans="1:17" ht="13" x14ac:dyDescent="0.15">
      <c r="B141" s="16">
        <v>26</v>
      </c>
      <c r="C141" s="16">
        <v>18</v>
      </c>
      <c r="E141" s="39" t="s">
        <v>130</v>
      </c>
      <c r="F141" s="18">
        <v>4000</v>
      </c>
      <c r="G141" s="18">
        <v>2000</v>
      </c>
      <c r="H141" s="3">
        <v>2</v>
      </c>
      <c r="I141" s="16" t="s">
        <v>129</v>
      </c>
      <c r="J141" s="16">
        <v>4.68</v>
      </c>
      <c r="K141" s="16">
        <v>2</v>
      </c>
      <c r="P141" s="33">
        <f t="shared" si="2"/>
        <v>1.2265085298086797</v>
      </c>
      <c r="Q141" s="36">
        <f t="shared" si="3"/>
        <v>5.2971477685423087</v>
      </c>
    </row>
    <row r="142" spans="1:17" ht="13" x14ac:dyDescent="0.15">
      <c r="B142" s="16">
        <v>26</v>
      </c>
      <c r="C142" s="16">
        <v>18</v>
      </c>
      <c r="E142" s="39" t="s">
        <v>130</v>
      </c>
      <c r="F142" s="18">
        <v>4000</v>
      </c>
      <c r="G142" s="18">
        <v>2000</v>
      </c>
      <c r="H142" s="3">
        <v>3</v>
      </c>
      <c r="I142" s="16" t="s">
        <v>129</v>
      </c>
      <c r="J142" s="16">
        <v>3.52</v>
      </c>
      <c r="K142" s="16">
        <v>2</v>
      </c>
      <c r="P142" s="33">
        <f t="shared" si="2"/>
        <v>0.81557542886257262</v>
      </c>
      <c r="Q142" s="36">
        <f t="shared" si="3"/>
        <v>5.7502454352316184</v>
      </c>
    </row>
    <row r="143" spans="1:17" ht="13" x14ac:dyDescent="0.15">
      <c r="B143" s="16">
        <v>26</v>
      </c>
      <c r="C143" s="16">
        <v>18</v>
      </c>
      <c r="E143" s="40" t="s">
        <v>131</v>
      </c>
      <c r="F143" s="18">
        <v>8000</v>
      </c>
      <c r="G143" s="18">
        <v>6000</v>
      </c>
      <c r="H143" s="3">
        <v>1</v>
      </c>
      <c r="I143" s="16" t="s">
        <v>129</v>
      </c>
      <c r="J143" s="16">
        <v>2.81</v>
      </c>
      <c r="K143" s="16">
        <v>2</v>
      </c>
      <c r="P143" s="33">
        <f t="shared" si="2"/>
        <v>0.4905701304462014</v>
      </c>
      <c r="Q143" s="36">
        <f t="shared" si="3"/>
        <v>3.7143707899288287</v>
      </c>
    </row>
    <row r="144" spans="1:17" ht="13" x14ac:dyDescent="0.15">
      <c r="B144" s="16">
        <v>26</v>
      </c>
      <c r="C144" s="16">
        <v>18</v>
      </c>
      <c r="E144" s="40" t="s">
        <v>131</v>
      </c>
      <c r="F144" s="18">
        <v>8000</v>
      </c>
      <c r="G144" s="18">
        <v>6000</v>
      </c>
      <c r="H144" s="3">
        <v>2</v>
      </c>
      <c r="I144" s="16" t="s">
        <v>129</v>
      </c>
      <c r="J144" s="16">
        <v>3.02</v>
      </c>
      <c r="K144" s="16">
        <v>2</v>
      </c>
      <c r="P144" s="33">
        <f t="shared" si="2"/>
        <v>0.5945485495503543</v>
      </c>
      <c r="Q144" s="36">
        <f t="shared" si="3"/>
        <v>3.5194882782875734</v>
      </c>
    </row>
    <row r="145" spans="2:17" ht="13" x14ac:dyDescent="0.15">
      <c r="B145" s="16">
        <v>26</v>
      </c>
      <c r="C145" s="16">
        <v>18</v>
      </c>
      <c r="E145" s="40" t="s">
        <v>131</v>
      </c>
      <c r="F145" s="18">
        <v>8000</v>
      </c>
      <c r="G145" s="18">
        <v>6000</v>
      </c>
      <c r="H145" s="3">
        <v>3</v>
      </c>
      <c r="I145" s="16" t="s">
        <v>129</v>
      </c>
      <c r="J145" s="16">
        <v>2.95</v>
      </c>
      <c r="K145" s="16">
        <v>2</v>
      </c>
      <c r="P145" s="33">
        <f t="shared" si="2"/>
        <v>0.56071495447447905</v>
      </c>
      <c r="Q145" s="36">
        <f t="shared" si="3"/>
        <v>3.6547799855566701</v>
      </c>
    </row>
    <row r="146" spans="2:17" ht="13" x14ac:dyDescent="0.15">
      <c r="B146" s="16">
        <v>26</v>
      </c>
      <c r="C146" s="16">
        <v>18</v>
      </c>
      <c r="E146" s="41" t="s">
        <v>132</v>
      </c>
      <c r="F146" s="16">
        <v>10000</v>
      </c>
      <c r="G146" s="16">
        <v>10000</v>
      </c>
      <c r="H146" s="3">
        <v>1</v>
      </c>
      <c r="I146" s="16" t="s">
        <v>129</v>
      </c>
      <c r="J146" s="16">
        <v>3.83</v>
      </c>
      <c r="K146" s="16">
        <v>2</v>
      </c>
      <c r="P146" s="33">
        <f t="shared" si="2"/>
        <v>0.93734439215023246</v>
      </c>
      <c r="Q146" s="36">
        <f t="shared" si="3"/>
        <v>7.6558372698349109</v>
      </c>
    </row>
    <row r="147" spans="2:17" ht="13" x14ac:dyDescent="0.15">
      <c r="B147" s="16">
        <v>26</v>
      </c>
      <c r="C147" s="16">
        <v>18</v>
      </c>
      <c r="E147" s="41" t="s">
        <v>132</v>
      </c>
      <c r="F147" s="16">
        <v>10000</v>
      </c>
      <c r="G147" s="16">
        <v>10000</v>
      </c>
      <c r="H147" s="3">
        <v>2</v>
      </c>
      <c r="I147" s="16" t="s">
        <v>129</v>
      </c>
      <c r="J147" s="16">
        <v>4.3600000000000003</v>
      </c>
      <c r="K147" s="16">
        <v>2</v>
      </c>
      <c r="P147" s="33">
        <f t="shared" si="2"/>
        <v>1.1243281350022019</v>
      </c>
      <c r="Q147" s="36">
        <f t="shared" si="3"/>
        <v>7.1769888927475343</v>
      </c>
    </row>
    <row r="148" spans="2:17" ht="13" x14ac:dyDescent="0.15">
      <c r="B148" s="16">
        <v>26</v>
      </c>
      <c r="C148" s="16">
        <v>18</v>
      </c>
      <c r="E148" s="41" t="s">
        <v>132</v>
      </c>
      <c r="F148" s="16">
        <v>10000</v>
      </c>
      <c r="G148" s="16">
        <v>10000</v>
      </c>
      <c r="H148" s="3">
        <v>3</v>
      </c>
      <c r="I148" s="16" t="s">
        <v>129</v>
      </c>
      <c r="J148" s="16">
        <v>4.78</v>
      </c>
      <c r="K148" s="16">
        <v>2</v>
      </c>
      <c r="P148" s="33">
        <f t="shared" si="2"/>
        <v>1.2570106182060239</v>
      </c>
      <c r="Q148" s="36">
        <f t="shared" si="3"/>
        <v>7.2181063934088225</v>
      </c>
    </row>
    <row r="149" spans="2:17" ht="13" x14ac:dyDescent="0.15">
      <c r="B149" s="16">
        <v>26</v>
      </c>
      <c r="C149" s="16">
        <v>18</v>
      </c>
      <c r="E149" s="42" t="s">
        <v>133</v>
      </c>
      <c r="F149" s="18">
        <v>2000</v>
      </c>
      <c r="G149" s="18">
        <v>2000</v>
      </c>
      <c r="H149" s="3">
        <v>1</v>
      </c>
      <c r="I149" s="16" t="s">
        <v>129</v>
      </c>
      <c r="J149" s="16">
        <v>3.14</v>
      </c>
      <c r="K149" s="16">
        <v>2</v>
      </c>
      <c r="P149" s="33">
        <f t="shared" si="2"/>
        <v>0.65076455911690234</v>
      </c>
      <c r="Q149" s="36">
        <f t="shared" si="3"/>
        <v>4.2751838952835115</v>
      </c>
    </row>
    <row r="150" spans="2:17" ht="13" x14ac:dyDescent="0.15">
      <c r="B150" s="16">
        <v>26</v>
      </c>
      <c r="C150" s="16">
        <v>18</v>
      </c>
      <c r="E150" s="42" t="s">
        <v>133</v>
      </c>
      <c r="F150" s="18">
        <v>2000</v>
      </c>
      <c r="G150" s="18">
        <v>2000</v>
      </c>
      <c r="H150" s="3">
        <v>2</v>
      </c>
      <c r="I150" s="16" t="s">
        <v>129</v>
      </c>
      <c r="J150" s="16">
        <v>2.86</v>
      </c>
      <c r="K150" s="16">
        <v>2</v>
      </c>
      <c r="P150" s="33">
        <f t="shared" si="2"/>
        <v>0.51601514700366469</v>
      </c>
      <c r="Q150" s="36">
        <f t="shared" si="3"/>
        <v>3.5834335882788002</v>
      </c>
    </row>
    <row r="151" spans="2:17" ht="13" x14ac:dyDescent="0.15">
      <c r="B151" s="16">
        <v>26</v>
      </c>
      <c r="C151" s="16">
        <v>18</v>
      </c>
      <c r="E151" s="42" t="s">
        <v>133</v>
      </c>
      <c r="F151" s="18">
        <v>2000</v>
      </c>
      <c r="G151" s="18">
        <v>2000</v>
      </c>
      <c r="H151" s="3">
        <v>3</v>
      </c>
      <c r="I151" s="16" t="s">
        <v>129</v>
      </c>
      <c r="J151" s="16">
        <v>3.28</v>
      </c>
      <c r="K151" s="16">
        <v>2</v>
      </c>
      <c r="P151" s="33">
        <f t="shared" si="2"/>
        <v>0.71369581484335898</v>
      </c>
      <c r="Q151" s="36">
        <f t="shared" si="3"/>
        <v>3.5454555283373903</v>
      </c>
    </row>
    <row r="152" spans="2:17" ht="13" x14ac:dyDescent="0.15">
      <c r="B152" s="16">
        <v>26</v>
      </c>
      <c r="C152" s="16">
        <v>18</v>
      </c>
      <c r="E152" s="43" t="s">
        <v>135</v>
      </c>
      <c r="F152" s="18">
        <v>5000</v>
      </c>
      <c r="G152" s="18">
        <v>5000</v>
      </c>
      <c r="H152" s="3">
        <v>1</v>
      </c>
      <c r="I152" s="16" t="s">
        <v>129</v>
      </c>
      <c r="J152" s="16">
        <v>9.06</v>
      </c>
      <c r="K152" s="16">
        <v>3</v>
      </c>
      <c r="P152" s="33">
        <f t="shared" si="2"/>
        <v>2.1795110502715107</v>
      </c>
      <c r="Q152" s="36">
        <f t="shared" si="3"/>
        <v>4.8465136745195494</v>
      </c>
    </row>
    <row r="153" spans="2:17" ht="13" x14ac:dyDescent="0.15">
      <c r="B153" s="16">
        <v>26</v>
      </c>
      <c r="C153" s="16">
        <v>18</v>
      </c>
      <c r="E153" s="43" t="s">
        <v>135</v>
      </c>
      <c r="F153" s="18">
        <v>5000</v>
      </c>
      <c r="G153" s="18">
        <v>5000</v>
      </c>
      <c r="H153" s="3">
        <v>2</v>
      </c>
      <c r="I153" s="16" t="s">
        <v>129</v>
      </c>
      <c r="J153" s="16">
        <v>10.1</v>
      </c>
      <c r="K153" s="16">
        <v>3</v>
      </c>
      <c r="P153" s="33">
        <f t="shared" si="2"/>
        <v>2.3362833878644325</v>
      </c>
      <c r="Q153" s="36">
        <f t="shared" si="3"/>
        <v>4.7111420364581624</v>
      </c>
    </row>
    <row r="154" spans="2:17" ht="13" x14ac:dyDescent="0.15">
      <c r="B154" s="16">
        <v>26</v>
      </c>
      <c r="C154" s="16">
        <v>18</v>
      </c>
      <c r="E154" s="43" t="s">
        <v>135</v>
      </c>
      <c r="F154" s="18">
        <v>5000</v>
      </c>
      <c r="G154" s="18">
        <v>5000</v>
      </c>
      <c r="H154" s="3">
        <v>3</v>
      </c>
      <c r="I154" s="16" t="s">
        <v>129</v>
      </c>
      <c r="J154" s="16">
        <v>11.1</v>
      </c>
      <c r="K154" s="16">
        <v>3</v>
      </c>
      <c r="P154" s="33">
        <f t="shared" si="2"/>
        <v>2.4724877714627436</v>
      </c>
      <c r="Q154" s="36">
        <f t="shared" si="3"/>
        <v>5.4539791579045467</v>
      </c>
    </row>
    <row r="155" spans="2:17" ht="13" x14ac:dyDescent="0.15">
      <c r="B155" s="16">
        <v>26</v>
      </c>
      <c r="C155" s="16">
        <v>18</v>
      </c>
      <c r="E155" s="44" t="s">
        <v>136</v>
      </c>
      <c r="F155" s="18">
        <v>2500</v>
      </c>
      <c r="G155" s="18">
        <v>2500</v>
      </c>
      <c r="H155" s="3">
        <v>1</v>
      </c>
      <c r="I155" s="16" t="s">
        <v>129</v>
      </c>
      <c r="J155" s="16">
        <v>7.67</v>
      </c>
      <c r="K155" s="16">
        <v>3</v>
      </c>
      <c r="P155" s="33">
        <f t="shared" si="2"/>
        <v>1.9392265777282087</v>
      </c>
      <c r="Q155" s="36">
        <f t="shared" si="3"/>
        <v>2.9248780123289073</v>
      </c>
    </row>
    <row r="156" spans="2:17" ht="13" x14ac:dyDescent="0.15">
      <c r="B156" s="16">
        <v>26</v>
      </c>
      <c r="C156" s="16">
        <v>18</v>
      </c>
      <c r="E156" s="44" t="s">
        <v>136</v>
      </c>
      <c r="F156" s="18">
        <v>2500</v>
      </c>
      <c r="G156" s="18">
        <v>2500</v>
      </c>
      <c r="H156" s="3">
        <v>2</v>
      </c>
      <c r="I156" s="16" t="s">
        <v>129</v>
      </c>
      <c r="J156" s="16">
        <v>8.09</v>
      </c>
      <c r="K156" s="16">
        <v>3</v>
      </c>
      <c r="P156" s="33">
        <f t="shared" si="2"/>
        <v>2.016139702655253</v>
      </c>
      <c r="Q156" s="36">
        <f t="shared" si="3"/>
        <v>3.6412231205772869</v>
      </c>
    </row>
    <row r="157" spans="2:17" ht="13" x14ac:dyDescent="0.15">
      <c r="B157" s="16">
        <v>26</v>
      </c>
      <c r="C157" s="16">
        <v>18</v>
      </c>
      <c r="E157" s="47" t="s">
        <v>136</v>
      </c>
      <c r="F157" s="64">
        <v>2500</v>
      </c>
      <c r="G157" s="64">
        <v>2500</v>
      </c>
      <c r="H157" s="48">
        <v>3</v>
      </c>
      <c r="I157" s="46" t="s">
        <v>129</v>
      </c>
      <c r="J157" s="16">
        <v>7.05</v>
      </c>
      <c r="K157" s="16">
        <v>3</v>
      </c>
      <c r="P157" s="33">
        <f t="shared" si="2"/>
        <v>1.8176232575114313</v>
      </c>
      <c r="Q157" s="36">
        <f t="shared" si="3"/>
        <v>3.7090424443575101</v>
      </c>
    </row>
    <row r="158" spans="2:17" ht="13" x14ac:dyDescent="0.15">
      <c r="B158" s="16">
        <v>29</v>
      </c>
      <c r="C158" s="16">
        <v>21</v>
      </c>
      <c r="E158" s="33" t="s">
        <v>32</v>
      </c>
      <c r="F158" s="34">
        <v>2.2499999999999999E-4</v>
      </c>
      <c r="G158" s="34">
        <v>2.2499999999999999E-4</v>
      </c>
      <c r="H158" s="35">
        <v>1</v>
      </c>
      <c r="I158" s="33" t="s">
        <v>129</v>
      </c>
      <c r="J158" s="16">
        <v>9.1999999999999993</v>
      </c>
      <c r="P158" s="33">
        <f t="shared" si="2"/>
        <v>2.2016338611696504</v>
      </c>
      <c r="Q158" s="36">
        <f t="shared" si="3"/>
        <v>16.583370762851587</v>
      </c>
    </row>
    <row r="159" spans="2:17" ht="13" x14ac:dyDescent="0.15">
      <c r="B159" s="16">
        <v>29</v>
      </c>
      <c r="C159" s="16">
        <v>21</v>
      </c>
      <c r="E159" s="16" t="s">
        <v>32</v>
      </c>
      <c r="F159" s="22">
        <v>2.2499999999999999E-4</v>
      </c>
      <c r="G159" s="22">
        <v>2.2499999999999999E-4</v>
      </c>
      <c r="H159" s="3">
        <v>2</v>
      </c>
      <c r="I159" s="16" t="s">
        <v>129</v>
      </c>
      <c r="J159" s="16">
        <v>10.4</v>
      </c>
      <c r="P159" s="33">
        <f t="shared" si="2"/>
        <v>2.37851162325373</v>
      </c>
      <c r="Q159" s="36">
        <f t="shared" si="3"/>
        <v>16.563263791406033</v>
      </c>
    </row>
    <row r="160" spans="2:17" ht="13" x14ac:dyDescent="0.15">
      <c r="B160" s="16">
        <v>29</v>
      </c>
      <c r="C160" s="16">
        <v>21</v>
      </c>
      <c r="E160" s="16" t="s">
        <v>32</v>
      </c>
      <c r="F160" s="22">
        <v>2.2499999999999999E-4</v>
      </c>
      <c r="G160" s="22">
        <v>2.2499999999999999E-4</v>
      </c>
      <c r="H160" s="3">
        <v>3</v>
      </c>
      <c r="I160" s="16" t="s">
        <v>129</v>
      </c>
      <c r="J160" s="16">
        <v>10.199999999999999</v>
      </c>
      <c r="P160" s="33">
        <f t="shared" si="2"/>
        <v>2.3504972470841334</v>
      </c>
      <c r="Q160" s="36">
        <f t="shared" si="3"/>
        <v>15.85313389538002</v>
      </c>
    </row>
    <row r="161" spans="2:17" ht="13" x14ac:dyDescent="0.15">
      <c r="B161" s="16">
        <v>29</v>
      </c>
      <c r="C161" s="16">
        <v>21</v>
      </c>
      <c r="E161" s="39" t="s">
        <v>130</v>
      </c>
      <c r="F161" s="18">
        <v>4000</v>
      </c>
      <c r="G161" s="18">
        <v>2000</v>
      </c>
      <c r="H161" s="3">
        <v>1</v>
      </c>
      <c r="I161" s="16" t="s">
        <v>129</v>
      </c>
      <c r="J161" s="16">
        <v>4.04</v>
      </c>
      <c r="P161" s="33">
        <f t="shared" si="2"/>
        <v>1.0143552929770701</v>
      </c>
      <c r="Q161" s="36">
        <f t="shared" si="3"/>
        <v>6.1977088523880699</v>
      </c>
    </row>
    <row r="162" spans="2:17" ht="13" x14ac:dyDescent="0.15">
      <c r="B162" s="16">
        <v>29</v>
      </c>
      <c r="C162" s="16">
        <v>21</v>
      </c>
      <c r="E162" s="39" t="s">
        <v>130</v>
      </c>
      <c r="F162" s="18">
        <v>4000</v>
      </c>
      <c r="G162" s="18">
        <v>2000</v>
      </c>
      <c r="H162" s="3">
        <v>2</v>
      </c>
      <c r="I162" s="16" t="s">
        <v>129</v>
      </c>
      <c r="J162" s="16">
        <v>5.33</v>
      </c>
      <c r="P162" s="33">
        <f t="shared" si="2"/>
        <v>1.4141355329844512</v>
      </c>
      <c r="Q162" s="36">
        <f t="shared" si="3"/>
        <v>6.7112833015267599</v>
      </c>
    </row>
    <row r="163" spans="2:17" ht="13" x14ac:dyDescent="0.15">
      <c r="B163" s="16">
        <v>29</v>
      </c>
      <c r="C163" s="16">
        <v>21</v>
      </c>
      <c r="E163" s="39" t="s">
        <v>130</v>
      </c>
      <c r="F163" s="18">
        <v>4000</v>
      </c>
      <c r="G163" s="18">
        <v>2000</v>
      </c>
      <c r="H163" s="3">
        <v>3</v>
      </c>
      <c r="I163" s="16" t="s">
        <v>129</v>
      </c>
      <c r="J163" s="16">
        <v>5.12</v>
      </c>
      <c r="P163" s="33">
        <f t="shared" si="2"/>
        <v>1.3561438102252754</v>
      </c>
      <c r="Q163" s="36">
        <f t="shared" si="3"/>
        <v>7.106389245456894</v>
      </c>
    </row>
    <row r="164" spans="2:17" ht="13" x14ac:dyDescent="0.15">
      <c r="B164" s="16">
        <v>29</v>
      </c>
      <c r="C164" s="16">
        <v>21</v>
      </c>
      <c r="E164" s="40" t="s">
        <v>131</v>
      </c>
      <c r="F164" s="18">
        <v>8000</v>
      </c>
      <c r="G164" s="18">
        <v>6000</v>
      </c>
      <c r="H164" s="3">
        <v>1</v>
      </c>
      <c r="I164" s="16" t="s">
        <v>129</v>
      </c>
      <c r="J164" s="16">
        <v>4.33</v>
      </c>
      <c r="P164" s="33">
        <f t="shared" si="2"/>
        <v>1.1143670249520001</v>
      </c>
      <c r="Q164" s="36">
        <f t="shared" si="3"/>
        <v>4.8287378148808289</v>
      </c>
    </row>
    <row r="165" spans="2:17" ht="13" x14ac:dyDescent="0.15">
      <c r="B165" s="16">
        <v>29</v>
      </c>
      <c r="C165" s="16">
        <v>21</v>
      </c>
      <c r="E165" s="40" t="s">
        <v>131</v>
      </c>
      <c r="F165" s="18">
        <v>8000</v>
      </c>
      <c r="G165" s="18">
        <v>6000</v>
      </c>
      <c r="H165" s="3">
        <v>2</v>
      </c>
      <c r="I165" s="16" t="s">
        <v>129</v>
      </c>
      <c r="J165" s="16">
        <v>4.8</v>
      </c>
      <c r="P165" s="33">
        <f t="shared" si="2"/>
        <v>1.2630344058337937</v>
      </c>
      <c r="Q165" s="36">
        <f t="shared" si="3"/>
        <v>4.7825226841213668</v>
      </c>
    </row>
    <row r="166" spans="2:17" ht="13" x14ac:dyDescent="0.15">
      <c r="B166" s="16">
        <v>29</v>
      </c>
      <c r="C166" s="16">
        <v>21</v>
      </c>
      <c r="E166" s="40" t="s">
        <v>131</v>
      </c>
      <c r="F166" s="18">
        <v>8000</v>
      </c>
      <c r="G166" s="18">
        <v>6000</v>
      </c>
      <c r="H166" s="3">
        <v>3</v>
      </c>
      <c r="I166" s="16" t="s">
        <v>129</v>
      </c>
      <c r="J166" s="16">
        <v>4.4400000000000004</v>
      </c>
      <c r="P166" s="33">
        <f t="shared" si="2"/>
        <v>1.1505596765753814</v>
      </c>
      <c r="Q166" s="36">
        <f t="shared" si="3"/>
        <v>4.8053396621320514</v>
      </c>
    </row>
    <row r="167" spans="2:17" ht="13" x14ac:dyDescent="0.15">
      <c r="B167" s="16">
        <v>29</v>
      </c>
      <c r="C167" s="16">
        <v>21</v>
      </c>
      <c r="E167" s="41" t="s">
        <v>132</v>
      </c>
      <c r="F167" s="16">
        <v>10000</v>
      </c>
      <c r="G167" s="16">
        <v>10000</v>
      </c>
      <c r="H167" s="3">
        <v>1</v>
      </c>
      <c r="I167" s="16" t="s">
        <v>129</v>
      </c>
      <c r="J167" s="16">
        <v>4.33</v>
      </c>
      <c r="P167" s="33">
        <f t="shared" si="2"/>
        <v>1.1143670249520001</v>
      </c>
      <c r="Q167" s="36">
        <f t="shared" si="3"/>
        <v>8.770204294786911</v>
      </c>
    </row>
    <row r="168" spans="2:17" ht="13" x14ac:dyDescent="0.15">
      <c r="B168" s="16">
        <v>29</v>
      </c>
      <c r="C168" s="16">
        <v>21</v>
      </c>
      <c r="E168" s="41" t="s">
        <v>132</v>
      </c>
      <c r="F168" s="16">
        <v>10000</v>
      </c>
      <c r="G168" s="16">
        <v>10000</v>
      </c>
      <c r="H168" s="3">
        <v>2</v>
      </c>
      <c r="I168" s="16" t="s">
        <v>129</v>
      </c>
      <c r="J168" s="16">
        <v>4.87</v>
      </c>
      <c r="P168" s="33">
        <f t="shared" si="2"/>
        <v>1.2839217723076175</v>
      </c>
      <c r="Q168" s="36">
        <f t="shared" si="3"/>
        <v>8.4609106650551524</v>
      </c>
    </row>
    <row r="169" spans="2:17" ht="13" x14ac:dyDescent="0.15">
      <c r="B169" s="16">
        <v>29</v>
      </c>
      <c r="C169" s="16">
        <v>21</v>
      </c>
      <c r="E169" s="41" t="s">
        <v>132</v>
      </c>
      <c r="F169" s="16">
        <v>10000</v>
      </c>
      <c r="G169" s="16">
        <v>10000</v>
      </c>
      <c r="H169" s="3">
        <v>3</v>
      </c>
      <c r="I169" s="16" t="s">
        <v>129</v>
      </c>
      <c r="J169" s="16">
        <v>4.8600000000000003</v>
      </c>
      <c r="P169" s="33">
        <f t="shared" si="2"/>
        <v>1.2809563138310562</v>
      </c>
      <c r="Q169" s="36">
        <f t="shared" si="3"/>
        <v>8.4990627072398794</v>
      </c>
    </row>
    <row r="170" spans="2:17" ht="13" x14ac:dyDescent="0.15">
      <c r="B170" s="16">
        <v>29</v>
      </c>
      <c r="C170" s="16">
        <v>21</v>
      </c>
      <c r="E170" s="42" t="s">
        <v>133</v>
      </c>
      <c r="F170" s="18">
        <v>2000</v>
      </c>
      <c r="G170" s="18">
        <v>2000</v>
      </c>
      <c r="H170" s="3">
        <v>1</v>
      </c>
      <c r="I170" s="16" t="s">
        <v>129</v>
      </c>
      <c r="J170" s="16">
        <v>7.26</v>
      </c>
      <c r="P170" s="33">
        <f t="shared" si="2"/>
        <v>1.8599695482210259</v>
      </c>
      <c r="Q170" s="36">
        <f t="shared" si="3"/>
        <v>6.135153443504537</v>
      </c>
    </row>
    <row r="171" spans="2:17" ht="13" x14ac:dyDescent="0.15">
      <c r="B171" s="16">
        <v>29</v>
      </c>
      <c r="C171" s="16">
        <v>21</v>
      </c>
      <c r="E171" s="42" t="s">
        <v>133</v>
      </c>
      <c r="F171" s="18">
        <v>2000</v>
      </c>
      <c r="G171" s="18">
        <v>2000</v>
      </c>
      <c r="H171" s="3">
        <v>2</v>
      </c>
      <c r="I171" s="16" t="s">
        <v>129</v>
      </c>
      <c r="J171" s="16">
        <v>8.01</v>
      </c>
      <c r="P171" s="33">
        <f t="shared" si="2"/>
        <v>2.0018022426339854</v>
      </c>
      <c r="Q171" s="36">
        <f t="shared" si="3"/>
        <v>5.5852358309127856</v>
      </c>
    </row>
    <row r="172" spans="2:17" ht="13" x14ac:dyDescent="0.15">
      <c r="B172" s="16">
        <v>29</v>
      </c>
      <c r="C172" s="16">
        <v>21</v>
      </c>
      <c r="E172" s="42" t="s">
        <v>133</v>
      </c>
      <c r="F172" s="18">
        <v>2000</v>
      </c>
      <c r="G172" s="18">
        <v>2000</v>
      </c>
      <c r="H172" s="3">
        <v>3</v>
      </c>
      <c r="I172" s="16" t="s">
        <v>129</v>
      </c>
      <c r="J172" s="16">
        <v>6.08</v>
      </c>
      <c r="P172" s="33">
        <f t="shared" si="2"/>
        <v>1.6040713236688608</v>
      </c>
      <c r="Q172" s="36">
        <f t="shared" si="3"/>
        <v>5.1495268520062512</v>
      </c>
    </row>
    <row r="173" spans="2:17" ht="13" x14ac:dyDescent="0.15">
      <c r="B173" s="16">
        <v>29</v>
      </c>
      <c r="C173" s="16">
        <v>21</v>
      </c>
      <c r="E173" s="43" t="s">
        <v>135</v>
      </c>
      <c r="F173" s="18">
        <v>5000</v>
      </c>
      <c r="G173" s="18">
        <v>5000</v>
      </c>
      <c r="H173" s="3">
        <v>1</v>
      </c>
      <c r="I173" s="16" t="s">
        <v>129</v>
      </c>
      <c r="J173" s="16">
        <v>7.92</v>
      </c>
      <c r="P173" s="33">
        <f t="shared" si="2"/>
        <v>1.4005379295837288</v>
      </c>
      <c r="Q173" s="36">
        <f t="shared" si="3"/>
        <v>6.2470516041032784</v>
      </c>
    </row>
    <row r="174" spans="2:17" ht="13" x14ac:dyDescent="0.15">
      <c r="B174" s="16">
        <v>29</v>
      </c>
      <c r="C174" s="16">
        <v>21</v>
      </c>
      <c r="E174" s="43" t="s">
        <v>135</v>
      </c>
      <c r="F174" s="18">
        <v>5000</v>
      </c>
      <c r="G174" s="18">
        <v>5000</v>
      </c>
      <c r="H174" s="3">
        <v>2</v>
      </c>
      <c r="I174" s="16" t="s">
        <v>129</v>
      </c>
      <c r="J174" s="16">
        <v>6.64</v>
      </c>
      <c r="P174" s="33">
        <f t="shared" si="2"/>
        <v>1.1462207408510439</v>
      </c>
      <c r="Q174" s="36">
        <f t="shared" si="3"/>
        <v>5.8573627773092065</v>
      </c>
    </row>
    <row r="175" spans="2:17" ht="13" x14ac:dyDescent="0.15">
      <c r="B175" s="16">
        <v>29</v>
      </c>
      <c r="C175" s="16">
        <v>21</v>
      </c>
      <c r="E175" s="43" t="s">
        <v>135</v>
      </c>
      <c r="F175" s="18">
        <v>5000</v>
      </c>
      <c r="G175" s="18">
        <v>5000</v>
      </c>
      <c r="H175" s="3">
        <v>3</v>
      </c>
      <c r="I175" s="16" t="s">
        <v>129</v>
      </c>
      <c r="J175" s="16">
        <v>6.7</v>
      </c>
      <c r="P175" s="33">
        <f t="shared" si="2"/>
        <v>1.159198594849254</v>
      </c>
      <c r="Q175" s="36">
        <f t="shared" si="3"/>
        <v>6.6131777527538009</v>
      </c>
    </row>
    <row r="176" spans="2:17" ht="13" x14ac:dyDescent="0.15">
      <c r="B176" s="16">
        <v>29</v>
      </c>
      <c r="C176" s="16">
        <v>21</v>
      </c>
      <c r="E176" s="44" t="s">
        <v>136</v>
      </c>
      <c r="F176" s="18">
        <v>2500</v>
      </c>
      <c r="G176" s="18">
        <v>2500</v>
      </c>
      <c r="H176" s="3">
        <v>1</v>
      </c>
      <c r="I176" s="16" t="s">
        <v>129</v>
      </c>
      <c r="J176" s="16">
        <v>4.26</v>
      </c>
      <c r="P176" s="33">
        <f t="shared" si="2"/>
        <v>0.50589092972995731</v>
      </c>
      <c r="Q176" s="36">
        <f t="shared" si="3"/>
        <v>3.4307689420588647</v>
      </c>
    </row>
    <row r="177" spans="2:17" ht="13" x14ac:dyDescent="0.15">
      <c r="B177" s="16">
        <v>29</v>
      </c>
      <c r="C177" s="16">
        <v>21</v>
      </c>
      <c r="E177" s="44" t="s">
        <v>136</v>
      </c>
      <c r="F177" s="18">
        <v>2500</v>
      </c>
      <c r="G177" s="18">
        <v>2500</v>
      </c>
      <c r="H177" s="3">
        <v>2</v>
      </c>
      <c r="I177" s="16" t="s">
        <v>129</v>
      </c>
      <c r="J177" s="16">
        <v>3.63</v>
      </c>
      <c r="P177" s="33">
        <f t="shared" si="2"/>
        <v>0.27500704749986982</v>
      </c>
      <c r="Q177" s="36">
        <f t="shared" si="3"/>
        <v>3.9162301680771567</v>
      </c>
    </row>
    <row r="178" spans="2:17" ht="13" x14ac:dyDescent="0.15">
      <c r="B178" s="16">
        <v>29</v>
      </c>
      <c r="C178" s="16">
        <v>21</v>
      </c>
      <c r="E178" s="47" t="s">
        <v>136</v>
      </c>
      <c r="F178" s="64">
        <v>2500</v>
      </c>
      <c r="G178" s="64">
        <v>2500</v>
      </c>
      <c r="H178" s="48">
        <v>3</v>
      </c>
      <c r="I178" s="46" t="s">
        <v>129</v>
      </c>
      <c r="J178" s="16">
        <v>3.91</v>
      </c>
      <c r="P178" s="33">
        <f t="shared" si="2"/>
        <v>0.38220610681147155</v>
      </c>
      <c r="Q178" s="36">
        <f t="shared" si="3"/>
        <v>4.0912485511689818</v>
      </c>
    </row>
  </sheetData>
  <conditionalFormatting sqref="A1:A4 O1:O4 B1:C7 J1:N7 I1:I10 D1:G13 H1:H178 K11:K22 L11:M58 D32:G34 E53:F55 E74:G76 L74:M76 L86:M88 E95:G97 K95:K106 E116:G118 E137:G139 E158:G160">
    <cfRule type="cellIs" dxfId="14" priority="1" operator="equal">
      <formula>"N/A"</formula>
    </cfRule>
  </conditionalFormatting>
  <conditionalFormatting sqref="E1:E13 E32:E34 E53:E55 E74:E76 E95:E97 E116:E118 E137:E139 E158:E160">
    <cfRule type="cellIs" dxfId="13" priority="6" operator="equal">
      <formula>"KI-CDK9d-32"</formula>
    </cfRule>
    <cfRule type="cellIs" dxfId="12" priority="7" operator="equal">
      <formula>"KI-CDK9d-32N"</formula>
    </cfRule>
    <cfRule type="cellIs" dxfId="11" priority="8" operator="equal">
      <formula>"KB-0742"</formula>
    </cfRule>
    <cfRule type="cellIs" dxfId="10" priority="9" operator="equal">
      <formula>"SY-5609"</formula>
    </cfRule>
    <cfRule type="cellIs" dxfId="9" priority="10" operator="equal">
      <formula>"Senexin B"</formula>
    </cfRule>
    <cfRule type="cellIs" dxfId="8" priority="11" operator="equal">
      <formula>"SEL120"</formula>
    </cfRule>
    <cfRule type="cellIs" dxfId="7" priority="13" operator="equal">
      <formula>"NONE"</formula>
    </cfRule>
  </conditionalFormatting>
  <conditionalFormatting sqref="E1:E178">
    <cfRule type="cellIs" dxfId="6" priority="12" operator="equal">
      <formula>"DMSO"</formula>
    </cfRule>
    <cfRule type="cellIs" dxfId="5" priority="14" operator="equal">
      <formula>"BSJ-4-116"</formula>
    </cfRule>
    <cfRule type="cellIs" dxfId="4" priority="15" operator="equal">
      <formula>"CDK12-IN-2"</formula>
    </cfRule>
    <cfRule type="cellIs" dxfId="3" priority="16" operator="equal">
      <formula>"HQ461"</formula>
    </cfRule>
  </conditionalFormatting>
  <conditionalFormatting sqref="F1:F31 G11:G52 G74:G178">
    <cfRule type="colorScale" priority="17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G1:G31">
    <cfRule type="colorScale" priority="18">
      <colorScale>
        <cfvo type="min"/>
        <cfvo type="percentile" val="50"/>
        <cfvo type="max"/>
        <color rgb="FF4A86E8"/>
        <color rgb="FFFFFFFF"/>
        <color rgb="FFE67C73"/>
      </colorScale>
    </cfRule>
  </conditionalFormatting>
  <conditionalFormatting sqref="H1:H178">
    <cfRule type="cellIs" dxfId="2" priority="2" operator="equal">
      <formula>1</formula>
    </cfRule>
    <cfRule type="cellIs" dxfId="1" priority="3" operator="equal">
      <formula>2</formula>
    </cfRule>
    <cfRule type="cellIs" dxfId="0" priority="4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CBE_screen</vt:lpstr>
      <vt:lpstr>ABE_screen</vt:lpstr>
      <vt:lpstr>CBE SY-5609</vt:lpstr>
      <vt:lpstr>ABE SY-5609</vt:lpstr>
      <vt:lpstr>KB-0742 compound mutants</vt:lpstr>
      <vt:lpstr>CBE_CDK12_13</vt:lpstr>
      <vt:lpstr>ABE_CDK12_13</vt:lpstr>
      <vt:lpstr>CBE_CDK2_4_6</vt:lpstr>
      <vt:lpstr>ABE_CDK2_4_6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Gould</cp:lastModifiedBy>
  <dcterms:modified xsi:type="dcterms:W3CDTF">2025-09-02T19:10:40Z</dcterms:modified>
</cp:coreProperties>
</file>