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amgould/Documents/GitHub/CDK-BE-mutagenesis/source_data/10_validation_guides/"/>
    </mc:Choice>
  </mc:AlternateContent>
  <xr:revisionPtr revIDLastSave="0" documentId="13_ncr:1_{86015088-40E5-7944-B5D0-A90231D65A5F}" xr6:coauthVersionLast="47" xr6:coauthVersionMax="47" xr10:uidLastSave="{00000000-0000-0000-0000-000000000000}"/>
  <bookViews>
    <workbookView xWindow="7400" yWindow="760" windowWidth="30240" windowHeight="17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H10" i="1" s="1"/>
  <c r="H2" i="1"/>
  <c r="H4" i="1"/>
  <c r="H6" i="1"/>
  <c r="H7" i="1"/>
  <c r="H8" i="1"/>
  <c r="H9" i="1"/>
  <c r="H3" i="1"/>
  <c r="F3" i="1"/>
  <c r="F4" i="1"/>
  <c r="F5" i="1"/>
  <c r="H5" i="1" s="1"/>
  <c r="F6" i="1"/>
  <c r="F7" i="1"/>
  <c r="F8" i="1"/>
  <c r="F9" i="1"/>
  <c r="F11" i="1"/>
  <c r="H11" i="1" s="1"/>
  <c r="F2" i="1"/>
</calcChain>
</file>

<file path=xl/sharedStrings.xml><?xml version="1.0" encoding="utf-8"?>
<sst xmlns="http://schemas.openxmlformats.org/spreadsheetml/2006/main" count="143" uniqueCount="81">
  <si>
    <t>CDK8_834_T</t>
  </si>
  <si>
    <t>CACCGCATAACTAAAATATTAGCA</t>
  </si>
  <si>
    <t>CDK9_1475_T</t>
  </si>
  <si>
    <t>CACCGCTCGCAGAAGTCGAACACC</t>
  </si>
  <si>
    <t>CDK12_2232_T</t>
  </si>
  <si>
    <t>CACCGTTATTGGAGAAGGAACCTA</t>
  </si>
  <si>
    <t>CDK12_3351_T</t>
  </si>
  <si>
    <t>CACCGATCCCAATAATGTCAAACT</t>
  </si>
  <si>
    <t>CDK12_3394_T</t>
  </si>
  <si>
    <t>CACCGGTCCATATACTCAAATACA</t>
  </si>
  <si>
    <t>CDK12_3395_T</t>
  </si>
  <si>
    <t>CACCGAGCAGTCCCATTAAGTCAT</t>
  </si>
  <si>
    <t>CDK12_3396_T</t>
  </si>
  <si>
    <t>CACCGTAGCAGTCCCATTAAGTCA</t>
  </si>
  <si>
    <t>CDK13_4604_T</t>
  </si>
  <si>
    <t>CACCGTTATTGGAGAAGGTACTTA</t>
  </si>
  <si>
    <t>CDK13_4605_T</t>
  </si>
  <si>
    <t>CACCGTATTGGAGAAGGTACTTAC</t>
  </si>
  <si>
    <t>CDK13_4675_T</t>
  </si>
  <si>
    <t>CACCGTTATGAGACAGCTCATGGA</t>
  </si>
  <si>
    <t>CDK8_834_B</t>
  </si>
  <si>
    <t>AAACTGCTAATATTTTAGTTATGC</t>
  </si>
  <si>
    <t>CDK9_1475_B</t>
  </si>
  <si>
    <t>AAACGGTGTTCGACTTCTGCGAGC</t>
  </si>
  <si>
    <t>CDK12_2232_B</t>
  </si>
  <si>
    <t>AAACTAGGTTCCTTCTCCAATAAC</t>
  </si>
  <si>
    <t>CDK12_3351_B</t>
  </si>
  <si>
    <t>AAACAGTTTGACATTATTGGGATC</t>
  </si>
  <si>
    <t>CDK12_3394_B</t>
  </si>
  <si>
    <t>AAACTGTATTTGAGTATATGGACC</t>
  </si>
  <si>
    <t>CDK12_3395_B</t>
  </si>
  <si>
    <t>AAACATGACTTAATGGGACTGCTC</t>
  </si>
  <si>
    <t>CDK12_3396_B</t>
  </si>
  <si>
    <t>AAACTGACTTAATGGGACTGCTAC</t>
  </si>
  <si>
    <t>CDK13_4604_B</t>
  </si>
  <si>
    <t>AAACTAAGTACCTTCTCCAATAAC</t>
  </si>
  <si>
    <t>CDK13_4605_B</t>
  </si>
  <si>
    <t>AAACGTAAGTACCTTCTCCAATAC</t>
  </si>
  <si>
    <t>CDK13_4675_B</t>
  </si>
  <si>
    <t>AAACTCCATGAGCTGTCTCATAAC</t>
  </si>
  <si>
    <t>Name</t>
  </si>
  <si>
    <t>Sequence</t>
  </si>
  <si>
    <t>Notes</t>
  </si>
  <si>
    <t>Scale</t>
  </si>
  <si>
    <t>Purification</t>
  </si>
  <si>
    <t>25nm</t>
  </si>
  <si>
    <t>STD</t>
  </si>
  <si>
    <t>Spacer</t>
  </si>
  <si>
    <t>Sequenced</t>
  </si>
  <si>
    <t>Match?</t>
  </si>
  <si>
    <t>GCTCGCAGAAGTCGAACACC</t>
  </si>
  <si>
    <t>gcataactaaaatattagca</t>
  </si>
  <si>
    <t>GTTATTGGAGAAGGAACCTA</t>
  </si>
  <si>
    <t>GATCCCAATAATGTCAAACT</t>
  </si>
  <si>
    <t>GGTCCATATACTCAAATACA</t>
  </si>
  <si>
    <t>GAGCAGTCCCATTAAGTCAT</t>
  </si>
  <si>
    <t>GTAGCAGTCCCATTAAGTCA</t>
  </si>
  <si>
    <t>GTTATTGGAGAAGGTACTTA</t>
  </si>
  <si>
    <t>GTATTGGAGAAGGTACTTAC</t>
  </si>
  <si>
    <t>GTTATGAGACAGCTCATGGA</t>
  </si>
  <si>
    <t>gRNA #</t>
  </si>
  <si>
    <t>gRNA Name</t>
  </si>
  <si>
    <t>Gene</t>
  </si>
  <si>
    <t>Variant</t>
  </si>
  <si>
    <t>CDK8</t>
  </si>
  <si>
    <t>CDK9</t>
  </si>
  <si>
    <t>CDK12</t>
  </si>
  <si>
    <t>Editor</t>
  </si>
  <si>
    <t>CDK13</t>
  </si>
  <si>
    <t>CBE</t>
  </si>
  <si>
    <t>ABE</t>
  </si>
  <si>
    <t>I733V</t>
  </si>
  <si>
    <t>G731K</t>
  </si>
  <si>
    <t>G822K</t>
  </si>
  <si>
    <t>M816I_D817N</t>
  </si>
  <si>
    <t>G822E</t>
  </si>
  <si>
    <t>I711V_T715A</t>
  </si>
  <si>
    <t>M818V_R819G</t>
  </si>
  <si>
    <t>I711V</t>
  </si>
  <si>
    <t>C106Y_E107K</t>
  </si>
  <si>
    <t>V159A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</si>
</sst>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CCCCCC"/>
      <name val="Menlo"/>
      <family val="2"/>
    </font>
    <font>
      <b/>
      <sz val="11"/>
      <color theme="7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25.83203125" customWidth="1"/>
    <col min="2" max="2" width="33.5" customWidth="1"/>
    <col min="5" max="5" width="14.5" customWidth="1"/>
    <col min="6" max="6" width="23.33203125" customWidth="1"/>
    <col min="7" max="7" width="22.33203125" customWidth="1"/>
  </cols>
  <sheetData>
    <row r="1" spans="1:8" x14ac:dyDescent="0.2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47</v>
      </c>
      <c r="G1" s="1" t="s">
        <v>48</v>
      </c>
      <c r="H1" s="1" t="s">
        <v>49</v>
      </c>
    </row>
    <row r="2" spans="1:8" x14ac:dyDescent="0.2">
      <c r="A2" t="s">
        <v>0</v>
      </c>
      <c r="B2" t="s">
        <v>1</v>
      </c>
      <c r="D2" t="s">
        <v>45</v>
      </c>
      <c r="E2" t="s">
        <v>46</v>
      </c>
      <c r="F2" t="str">
        <f>RIGHT(B2, 20)</f>
        <v>GCATAACTAAAATATTAGCA</v>
      </c>
      <c r="G2" t="s">
        <v>51</v>
      </c>
      <c r="H2" t="b">
        <f>F2=G2</f>
        <v>1</v>
      </c>
    </row>
    <row r="3" spans="1:8" x14ac:dyDescent="0.2">
      <c r="A3" t="s">
        <v>2</v>
      </c>
      <c r="B3" t="s">
        <v>3</v>
      </c>
      <c r="D3" t="s">
        <v>45</v>
      </c>
      <c r="E3" t="s">
        <v>46</v>
      </c>
      <c r="F3" t="str">
        <f t="shared" ref="F3:F11" si="0">RIGHT(B3, 20)</f>
        <v>GCTCGCAGAAGTCGAACACC</v>
      </c>
      <c r="G3" t="s">
        <v>50</v>
      </c>
      <c r="H3" t="b">
        <f>F3=G3</f>
        <v>1</v>
      </c>
    </row>
    <row r="4" spans="1:8" x14ac:dyDescent="0.2">
      <c r="A4" t="s">
        <v>4</v>
      </c>
      <c r="B4" t="s">
        <v>5</v>
      </c>
      <c r="D4" t="s">
        <v>45</v>
      </c>
      <c r="E4" t="s">
        <v>46</v>
      </c>
      <c r="F4" t="str">
        <f t="shared" si="0"/>
        <v>GTTATTGGAGAAGGAACCTA</v>
      </c>
      <c r="G4" t="s">
        <v>52</v>
      </c>
      <c r="H4" t="b">
        <f t="shared" ref="H4:H11" si="1">F4=G4</f>
        <v>1</v>
      </c>
    </row>
    <row r="5" spans="1:8" x14ac:dyDescent="0.2">
      <c r="A5" t="s">
        <v>6</v>
      </c>
      <c r="B5" t="s">
        <v>7</v>
      </c>
      <c r="D5" t="s">
        <v>45</v>
      </c>
      <c r="E5" t="s">
        <v>46</v>
      </c>
      <c r="F5" t="str">
        <f t="shared" si="0"/>
        <v>GATCCCAATAATGTCAAACT</v>
      </c>
      <c r="G5" t="s">
        <v>53</v>
      </c>
      <c r="H5" t="b">
        <f t="shared" si="1"/>
        <v>1</v>
      </c>
    </row>
    <row r="6" spans="1:8" x14ac:dyDescent="0.2">
      <c r="A6" t="s">
        <v>8</v>
      </c>
      <c r="B6" t="s">
        <v>9</v>
      </c>
      <c r="D6" t="s">
        <v>45</v>
      </c>
      <c r="E6" t="s">
        <v>46</v>
      </c>
      <c r="F6" t="str">
        <f t="shared" si="0"/>
        <v>GGTCCATATACTCAAATACA</v>
      </c>
      <c r="G6" t="s">
        <v>54</v>
      </c>
      <c r="H6" t="b">
        <f t="shared" si="1"/>
        <v>1</v>
      </c>
    </row>
    <row r="7" spans="1:8" x14ac:dyDescent="0.2">
      <c r="A7" t="s">
        <v>10</v>
      </c>
      <c r="B7" t="s">
        <v>11</v>
      </c>
      <c r="D7" t="s">
        <v>45</v>
      </c>
      <c r="E7" t="s">
        <v>46</v>
      </c>
      <c r="F7" t="str">
        <f t="shared" si="0"/>
        <v>GAGCAGTCCCATTAAGTCAT</v>
      </c>
      <c r="G7" t="s">
        <v>55</v>
      </c>
      <c r="H7" t="b">
        <f t="shared" si="1"/>
        <v>1</v>
      </c>
    </row>
    <row r="8" spans="1:8" x14ac:dyDescent="0.2">
      <c r="A8" t="s">
        <v>12</v>
      </c>
      <c r="B8" t="s">
        <v>13</v>
      </c>
      <c r="D8" t="s">
        <v>45</v>
      </c>
      <c r="E8" t="s">
        <v>46</v>
      </c>
      <c r="F8" t="str">
        <f t="shared" si="0"/>
        <v>GTAGCAGTCCCATTAAGTCA</v>
      </c>
      <c r="G8" t="s">
        <v>56</v>
      </c>
      <c r="H8" t="b">
        <f t="shared" si="1"/>
        <v>1</v>
      </c>
    </row>
    <row r="9" spans="1:8" x14ac:dyDescent="0.2">
      <c r="A9" t="s">
        <v>14</v>
      </c>
      <c r="B9" t="s">
        <v>15</v>
      </c>
      <c r="D9" t="s">
        <v>45</v>
      </c>
      <c r="E9" t="s">
        <v>46</v>
      </c>
      <c r="F9" t="str">
        <f t="shared" si="0"/>
        <v>GTTATTGGAGAAGGTACTTA</v>
      </c>
      <c r="G9" t="s">
        <v>57</v>
      </c>
      <c r="H9" t="b">
        <f t="shared" si="1"/>
        <v>1</v>
      </c>
    </row>
    <row r="10" spans="1:8" x14ac:dyDescent="0.2">
      <c r="A10" t="s">
        <v>16</v>
      </c>
      <c r="B10" t="s">
        <v>17</v>
      </c>
      <c r="D10" t="s">
        <v>45</v>
      </c>
      <c r="E10" t="s">
        <v>46</v>
      </c>
      <c r="F10" t="str">
        <f>RIGHT(B10, 20)</f>
        <v>GTATTGGAGAAGGTACTTAC</v>
      </c>
      <c r="G10" t="s">
        <v>58</v>
      </c>
      <c r="H10" t="b">
        <f t="shared" si="1"/>
        <v>1</v>
      </c>
    </row>
    <row r="11" spans="1:8" x14ac:dyDescent="0.2">
      <c r="A11" t="s">
        <v>18</v>
      </c>
      <c r="B11" t="s">
        <v>19</v>
      </c>
      <c r="D11" t="s">
        <v>45</v>
      </c>
      <c r="E11" t="s">
        <v>46</v>
      </c>
      <c r="F11" t="str">
        <f t="shared" si="0"/>
        <v>GTTATGAGACAGCTCATGGA</v>
      </c>
      <c r="G11" t="s">
        <v>59</v>
      </c>
      <c r="H11" t="b">
        <f t="shared" si="1"/>
        <v>1</v>
      </c>
    </row>
    <row r="12" spans="1:8" x14ac:dyDescent="0.2">
      <c r="A12" t="s">
        <v>20</v>
      </c>
      <c r="B12" t="s">
        <v>21</v>
      </c>
      <c r="D12" t="s">
        <v>45</v>
      </c>
      <c r="E12" t="s">
        <v>46</v>
      </c>
    </row>
    <row r="13" spans="1:8" x14ac:dyDescent="0.2">
      <c r="A13" t="s">
        <v>22</v>
      </c>
      <c r="B13" t="s">
        <v>23</v>
      </c>
      <c r="D13" t="s">
        <v>45</v>
      </c>
      <c r="E13" t="s">
        <v>46</v>
      </c>
    </row>
    <row r="14" spans="1:8" x14ac:dyDescent="0.2">
      <c r="A14" t="s">
        <v>24</v>
      </c>
      <c r="B14" t="s">
        <v>25</v>
      </c>
      <c r="D14" t="s">
        <v>45</v>
      </c>
      <c r="E14" t="s">
        <v>46</v>
      </c>
    </row>
    <row r="15" spans="1:8" x14ac:dyDescent="0.2">
      <c r="A15" t="s">
        <v>26</v>
      </c>
      <c r="B15" t="s">
        <v>27</v>
      </c>
      <c r="D15" t="s">
        <v>45</v>
      </c>
      <c r="E15" t="s">
        <v>46</v>
      </c>
    </row>
    <row r="16" spans="1:8" x14ac:dyDescent="0.2">
      <c r="A16" t="s">
        <v>28</v>
      </c>
      <c r="B16" t="s">
        <v>29</v>
      </c>
      <c r="D16" t="s">
        <v>45</v>
      </c>
      <c r="E16" t="s">
        <v>46</v>
      </c>
    </row>
    <row r="17" spans="1:5" x14ac:dyDescent="0.2">
      <c r="A17" t="s">
        <v>30</v>
      </c>
      <c r="B17" t="s">
        <v>31</v>
      </c>
      <c r="D17" t="s">
        <v>45</v>
      </c>
      <c r="E17" t="s">
        <v>46</v>
      </c>
    </row>
    <row r="18" spans="1:5" x14ac:dyDescent="0.2">
      <c r="A18" t="s">
        <v>32</v>
      </c>
      <c r="B18" t="s">
        <v>33</v>
      </c>
      <c r="D18" t="s">
        <v>45</v>
      </c>
      <c r="E18" t="s">
        <v>46</v>
      </c>
    </row>
    <row r="19" spans="1:5" x14ac:dyDescent="0.2">
      <c r="A19" t="s">
        <v>34</v>
      </c>
      <c r="B19" t="s">
        <v>35</v>
      </c>
      <c r="D19" t="s">
        <v>45</v>
      </c>
      <c r="E19" t="s">
        <v>46</v>
      </c>
    </row>
    <row r="20" spans="1:5" x14ac:dyDescent="0.2">
      <c r="A20" t="s">
        <v>36</v>
      </c>
      <c r="B20" t="s">
        <v>37</v>
      </c>
      <c r="D20" t="s">
        <v>45</v>
      </c>
      <c r="E20" t="s">
        <v>46</v>
      </c>
    </row>
    <row r="21" spans="1:5" x14ac:dyDescent="0.2">
      <c r="A21" t="s">
        <v>38</v>
      </c>
      <c r="B21" t="s">
        <v>39</v>
      </c>
      <c r="D21" t="s">
        <v>45</v>
      </c>
      <c r="E21" t="s">
        <v>46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DE65-A043-644C-939D-7CD6AEB7DF39}">
  <dimension ref="A1:F16"/>
  <sheetViews>
    <sheetView tabSelected="1" zoomScale="160" workbookViewId="0">
      <selection activeCell="C18" sqref="C18"/>
    </sheetView>
  </sheetViews>
  <sheetFormatPr baseColWidth="10" defaultRowHeight="15" x14ac:dyDescent="0.2"/>
  <cols>
    <col min="1" max="1" width="8.83203125" customWidth="1"/>
    <col min="2" max="2" width="17.1640625" customWidth="1"/>
    <col min="5" max="5" width="14.1640625" customWidth="1"/>
    <col min="6" max="6" width="12.1640625" customWidth="1"/>
    <col min="8" max="8" width="21" customWidth="1"/>
    <col min="10" max="10" width="17.5" customWidth="1"/>
  </cols>
  <sheetData>
    <row r="1" spans="1:6" x14ac:dyDescent="0.2">
      <c r="A1" s="1" t="s">
        <v>60</v>
      </c>
      <c r="B1" s="1" t="s">
        <v>61</v>
      </c>
      <c r="C1" s="1" t="s">
        <v>62</v>
      </c>
      <c r="D1" s="1" t="s">
        <v>67</v>
      </c>
      <c r="E1" s="1" t="s">
        <v>63</v>
      </c>
      <c r="F1" s="1"/>
    </row>
    <row r="2" spans="1:6" x14ac:dyDescent="0.2">
      <c r="A2" s="2">
        <v>1</v>
      </c>
      <c r="B2" s="3" t="s">
        <v>0</v>
      </c>
      <c r="C2" t="s">
        <v>64</v>
      </c>
      <c r="D2" s="5" t="s">
        <v>70</v>
      </c>
      <c r="E2" t="s">
        <v>80</v>
      </c>
    </row>
    <row r="3" spans="1:6" x14ac:dyDescent="0.2">
      <c r="A3" s="2">
        <v>2</v>
      </c>
      <c r="B3" s="3" t="s">
        <v>2</v>
      </c>
      <c r="C3" t="s">
        <v>65</v>
      </c>
      <c r="D3" s="6" t="s">
        <v>69</v>
      </c>
      <c r="E3" t="s">
        <v>79</v>
      </c>
    </row>
    <row r="4" spans="1:6" x14ac:dyDescent="0.2">
      <c r="A4" s="2">
        <v>3</v>
      </c>
      <c r="B4" s="3" t="s">
        <v>4</v>
      </c>
      <c r="C4" t="s">
        <v>66</v>
      </c>
      <c r="D4" s="5" t="s">
        <v>70</v>
      </c>
      <c r="E4" t="s">
        <v>71</v>
      </c>
    </row>
    <row r="5" spans="1:6" x14ac:dyDescent="0.2">
      <c r="A5" s="2">
        <v>4</v>
      </c>
      <c r="B5" s="3" t="s">
        <v>6</v>
      </c>
      <c r="C5" t="s">
        <v>66</v>
      </c>
      <c r="D5" s="6" t="s">
        <v>69</v>
      </c>
      <c r="E5" t="s">
        <v>72</v>
      </c>
    </row>
    <row r="6" spans="1:6" x14ac:dyDescent="0.2">
      <c r="A6" s="2">
        <v>5</v>
      </c>
      <c r="B6" s="3" t="s">
        <v>8</v>
      </c>
      <c r="C6" t="s">
        <v>66</v>
      </c>
      <c r="D6" s="6" t="s">
        <v>69</v>
      </c>
      <c r="E6" t="s">
        <v>74</v>
      </c>
    </row>
    <row r="7" spans="1:6" x14ac:dyDescent="0.2">
      <c r="A7" s="2">
        <v>6</v>
      </c>
      <c r="B7" s="3" t="s">
        <v>10</v>
      </c>
      <c r="C7" t="s">
        <v>66</v>
      </c>
      <c r="D7" s="6" t="s">
        <v>69</v>
      </c>
      <c r="E7" t="s">
        <v>73</v>
      </c>
    </row>
    <row r="8" spans="1:6" x14ac:dyDescent="0.2">
      <c r="A8" s="2">
        <v>7</v>
      </c>
      <c r="B8" s="3" t="s">
        <v>12</v>
      </c>
      <c r="C8" t="s">
        <v>66</v>
      </c>
      <c r="D8" s="6" t="s">
        <v>69</v>
      </c>
      <c r="E8" t="s">
        <v>75</v>
      </c>
    </row>
    <row r="9" spans="1:6" x14ac:dyDescent="0.2">
      <c r="A9" s="2">
        <v>8</v>
      </c>
      <c r="B9" s="3" t="s">
        <v>14</v>
      </c>
      <c r="C9" t="s">
        <v>68</v>
      </c>
      <c r="D9" s="5" t="s">
        <v>70</v>
      </c>
      <c r="E9" t="s">
        <v>76</v>
      </c>
    </row>
    <row r="10" spans="1:6" x14ac:dyDescent="0.2">
      <c r="A10" s="2">
        <v>9</v>
      </c>
      <c r="B10" s="3" t="s">
        <v>16</v>
      </c>
      <c r="C10" t="s">
        <v>68</v>
      </c>
      <c r="D10" s="5" t="s">
        <v>70</v>
      </c>
      <c r="E10" t="s">
        <v>78</v>
      </c>
    </row>
    <row r="11" spans="1:6" x14ac:dyDescent="0.2">
      <c r="A11" s="2">
        <v>10</v>
      </c>
      <c r="B11" s="3" t="s">
        <v>18</v>
      </c>
      <c r="C11" t="s">
        <v>68</v>
      </c>
      <c r="D11" s="5" t="s">
        <v>70</v>
      </c>
      <c r="E11" t="s">
        <v>77</v>
      </c>
    </row>
    <row r="12" spans="1:6" x14ac:dyDescent="0.2">
      <c r="A12" s="3"/>
    </row>
    <row r="16" spans="1:6" ht="16" x14ac:dyDescent="0.2">
      <c r="C16" s="4"/>
    </row>
  </sheetData>
  <conditionalFormatting sqref="I1:I24">
    <cfRule type="containsText" dxfId="1" priority="2" operator="containsText" text="CDK12">
      <formula>NOT(ISERROR(SEARCH("CDK12",I1)))</formula>
    </cfRule>
  </conditionalFormatting>
  <conditionalFormatting sqref="K1:K24">
    <cfRule type="containsText" dxfId="0" priority="1" operator="containsText" text="CBE">
      <formula>NOT(ISERROR(SEARCH("CBE",K1)))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Gould</cp:lastModifiedBy>
  <cp:lastPrinted>2025-08-07T19:12:45Z</cp:lastPrinted>
  <dcterms:created xsi:type="dcterms:W3CDTF">2025-07-10T17:54:29Z</dcterms:created>
  <dcterms:modified xsi:type="dcterms:W3CDTF">2025-08-14T16:59:32Z</dcterms:modified>
</cp:coreProperties>
</file>