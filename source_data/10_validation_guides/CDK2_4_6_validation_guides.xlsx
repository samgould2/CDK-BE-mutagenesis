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/>
  <mc:AlternateContent xmlns:mc="http://schemas.openxmlformats.org/markup-compatibility/2006">
    <mc:Choice Requires="x15">
      <x15ac:absPath xmlns:x15ac="http://schemas.microsoft.com/office/spreadsheetml/2010/11/ac" url="/Users/samgould/Documents/GitHub/CDK-BE-mutagenesis/source_data/10_validation_guides/"/>
    </mc:Choice>
  </mc:AlternateContent>
  <xr:revisionPtr revIDLastSave="0" documentId="13_ncr:1_{4BE91149-676D-5545-8B2A-143EDAF7BFD2}" xr6:coauthVersionLast="47" xr6:coauthVersionMax="47" xr10:uidLastSave="{00000000-0000-0000-0000-000000000000}"/>
  <bookViews>
    <workbookView xWindow="0" yWindow="740" windowWidth="30240" windowHeight="18900" xr2:uid="{00000000-000D-0000-FFFF-FFFF00000000}"/>
  </bookViews>
  <sheets>
    <sheet name="Sheet1" sheetId="1" r:id="rId1"/>
    <sheet name="Sheet2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2" i="1" l="1"/>
  <c r="I12" i="1" s="1"/>
  <c r="G13" i="1"/>
  <c r="I13" i="1" s="1"/>
  <c r="G14" i="1"/>
  <c r="I14" i="1" s="1"/>
  <c r="G15" i="1"/>
  <c r="I15" i="1" s="1"/>
  <c r="G11" i="1"/>
  <c r="I11" i="1" s="1"/>
  <c r="G10" i="1"/>
  <c r="I10" i="1" s="1"/>
  <c r="G9" i="1"/>
  <c r="I9" i="1" s="1"/>
  <c r="G8" i="1"/>
  <c r="I8" i="1" s="1"/>
  <c r="G7" i="1"/>
  <c r="I7" i="1" s="1"/>
  <c r="G6" i="1"/>
  <c r="I6" i="1" s="1"/>
  <c r="G5" i="1"/>
  <c r="I5" i="1" s="1"/>
  <c r="G4" i="1"/>
  <c r="I4" i="1" s="1"/>
  <c r="G3" i="1"/>
  <c r="I3" i="1" s="1"/>
  <c r="G2" i="1"/>
  <c r="I2" i="1" s="1"/>
</calcChain>
</file>

<file path=xl/sharedStrings.xml><?xml version="1.0" encoding="utf-8"?>
<sst xmlns="http://schemas.openxmlformats.org/spreadsheetml/2006/main" count="197" uniqueCount="120">
  <si>
    <t>Name</t>
  </si>
  <si>
    <t>Sequence</t>
  </si>
  <si>
    <t>Notes</t>
  </si>
  <si>
    <t>Scale</t>
  </si>
  <si>
    <t>Purification</t>
  </si>
  <si>
    <t>CDK2_7066_T</t>
  </si>
  <si>
    <t>CACCGCTGCTTATTAACACAGAGG</t>
  </si>
  <si>
    <t>25nm</t>
  </si>
  <si>
    <t>STD</t>
  </si>
  <si>
    <t>CDK2_7232_T</t>
  </si>
  <si>
    <t>CACCGTTAAGCTCCTTAAGCAGAG</t>
  </si>
  <si>
    <t>CDK2_7250_T</t>
  </si>
  <si>
    <t>CACCGAAATTCAAAAACCAGGTAG</t>
  </si>
  <si>
    <t>CDK2_7251_T</t>
  </si>
  <si>
    <t>CACCGAGAAATTCAAAAACCAGGT</t>
  </si>
  <si>
    <t>CDK2_7313_T</t>
  </si>
  <si>
    <t>CACCGCTCTGGCTAGTCCAAAGTC</t>
  </si>
  <si>
    <t>CDK4_7584_T</t>
  </si>
  <si>
    <t>CACCGTTGTCACCAGAATGTTCTC</t>
  </si>
  <si>
    <t>CDK4_7658_T</t>
  </si>
  <si>
    <t>CACCGCCTCACGAACTGTGCTGAT</t>
  </si>
  <si>
    <t>CDK4_7847_T</t>
  </si>
  <si>
    <t>CACCGTGCCAATTGCATCGTTCAC</t>
  </si>
  <si>
    <t>CDK4_7877_T</t>
  </si>
  <si>
    <t>CACCGGCATGTAGACCAGGACCTA</t>
  </si>
  <si>
    <t>CDK4_7925_T</t>
  </si>
  <si>
    <t>CACCGCCTTCCCATCAGCACAGTT</t>
  </si>
  <si>
    <t>CDK6_8145_T</t>
  </si>
  <si>
    <t>CACCGGGTCAAGTCTTGATCGACA</t>
  </si>
  <si>
    <t>CDK6_8180_T</t>
  </si>
  <si>
    <t>CACCGAGCGGCATGCCCTCCTCGC</t>
  </si>
  <si>
    <t>CDK6_8193_T</t>
  </si>
  <si>
    <t>CACCGGCCTCCGTTCTTCAAGTCG</t>
  </si>
  <si>
    <t>CDK6_8450_T</t>
  </si>
  <si>
    <t>CACCGGGGAGGGCGCCTATGGGAA</t>
  </si>
  <si>
    <t>CDK2_7066_B</t>
  </si>
  <si>
    <t>AAACCCTCTGTGTTAATAAGCAGC</t>
  </si>
  <si>
    <t>CDK2_7232_B</t>
  </si>
  <si>
    <t>AAACCTCTGCTTAAGGAGCTTAAC</t>
  </si>
  <si>
    <t>CDK2_7250_B</t>
  </si>
  <si>
    <t>AAACCTACCTGGTTTTTGAATTTC</t>
  </si>
  <si>
    <t>CDK2_7251_B</t>
  </si>
  <si>
    <t>AAACACCTGGTTTTTGAATTTCTC</t>
  </si>
  <si>
    <t>CDK2_7313_B</t>
  </si>
  <si>
    <t>AAACGACTTTGGACTAGCCAGAGC</t>
  </si>
  <si>
    <t>CDK4_7584_B</t>
  </si>
  <si>
    <t>AAACGAGAACATTCTGGTGACAAC</t>
  </si>
  <si>
    <t>CDK4_7658_B</t>
  </si>
  <si>
    <t>AAACATCAGCACAGTTCGTGAGGC</t>
  </si>
  <si>
    <t>CDK4_7847_B</t>
  </si>
  <si>
    <t>AAACGTGAACGATGCAATTGGCAC</t>
  </si>
  <si>
    <t>CDK4_7877_B</t>
  </si>
  <si>
    <t>AAACTAGGTCCTGGTCTACATGCC</t>
  </si>
  <si>
    <t>CDK4_7925_B</t>
  </si>
  <si>
    <t>AAACAACTGTGCTGATGGGAAGGC</t>
  </si>
  <si>
    <t>CDK6_8145_B</t>
  </si>
  <si>
    <t>AAACTGTCGATCAAGACTTGACCC</t>
  </si>
  <si>
    <t>CDK6_8180_B</t>
  </si>
  <si>
    <t>AAACGCGAGGAGGGCATGCCGCTC</t>
  </si>
  <si>
    <t>CDK6_8193_B</t>
  </si>
  <si>
    <t>AAACCGACTTGAAGAACGGAGGCC</t>
  </si>
  <si>
    <t>CDK6_8450_B</t>
  </si>
  <si>
    <t>AAACTTCCCATAGGCGCCCTCCCC</t>
  </si>
  <si>
    <t>gRNA_id</t>
  </si>
  <si>
    <t>Gene</t>
  </si>
  <si>
    <t>HGVSp</t>
  </si>
  <si>
    <t>%Reads</t>
  </si>
  <si>
    <t>Editor</t>
  </si>
  <si>
    <t>gRNA_CDK2_targ_7066</t>
  </si>
  <si>
    <t>CDK2</t>
  </si>
  <si>
    <t>L134F</t>
  </si>
  <si>
    <t>CBE</t>
  </si>
  <si>
    <t>gRNA_CDK2_targ_7232</t>
  </si>
  <si>
    <t>E57K</t>
  </si>
  <si>
    <t>gRNA_CDK2_targ_7250</t>
  </si>
  <si>
    <t>E81Q</t>
  </si>
  <si>
    <t>gRNA_CDK2_targ_7251</t>
  </si>
  <si>
    <t>E81K</t>
  </si>
  <si>
    <t>gRNA_CDK2_targ_7313</t>
  </si>
  <si>
    <t>G147E_R150K</t>
  </si>
  <si>
    <t>gRNA_CDK4_targ_7658</t>
  </si>
  <si>
    <t>CDK4</t>
  </si>
  <si>
    <t>E56K</t>
  </si>
  <si>
    <t>gRNA_CDK6_targ_8145</t>
  </si>
  <si>
    <t>CDK6</t>
  </si>
  <si>
    <t>D104N</t>
  </si>
  <si>
    <t>gRNA_CDK4_targ_7584</t>
  </si>
  <si>
    <t>V148A</t>
  </si>
  <si>
    <t>ABE</t>
  </si>
  <si>
    <t>gRNA_CDK4_targ_7847</t>
  </si>
  <si>
    <t>N134G</t>
  </si>
  <si>
    <t>gRNA_CDK4_targ_7877</t>
  </si>
  <si>
    <t>H95R</t>
  </si>
  <si>
    <t>gRNA_CDK4_targ_7925</t>
  </si>
  <si>
    <t>I51V_T53A</t>
  </si>
  <si>
    <t>gRNA_CDK6_targ_8180</t>
  </si>
  <si>
    <t>G53S_M54I</t>
  </si>
  <si>
    <t>gRNA_CDK6_targ_8193</t>
  </si>
  <si>
    <t>L33S</t>
  </si>
  <si>
    <t>gRNA_CDK6_targ_8450</t>
  </si>
  <si>
    <t>A23V</t>
  </si>
  <si>
    <t>#</t>
  </si>
  <si>
    <t>Spacer</t>
  </si>
  <si>
    <t>Sequenced</t>
  </si>
  <si>
    <t>Match?</t>
  </si>
  <si>
    <t>GCTGCTTATTAACACAGAGG</t>
  </si>
  <si>
    <t>GTTAAGCTCCTTAAGCAGAG</t>
  </si>
  <si>
    <t>GAAATTCAAAAACCAGGTAG</t>
  </si>
  <si>
    <t>GAGAAATTCAAAAACCAGGT</t>
  </si>
  <si>
    <t>GCCTCACGAACTGTGCTGAT</t>
  </si>
  <si>
    <t>GTTGTCACCAGAATGTTCTC</t>
  </si>
  <si>
    <t>GTGCCAATTGCATCGTTCAC</t>
  </si>
  <si>
    <t>GGCATGTAGACCAGGACCTA</t>
  </si>
  <si>
    <t>GCCTTCCCATCAGCACAGTT</t>
  </si>
  <si>
    <t>GGGTCAAGTCTTGATCGACA</t>
  </si>
  <si>
    <t>Sample #</t>
  </si>
  <si>
    <t>GAGCGGCATGCCCTCCTCGC</t>
  </si>
  <si>
    <t>GGCCTCCGTTCTTCAAGTCG</t>
  </si>
  <si>
    <t>GGGGAGGGCGCCTATGGGAA</t>
  </si>
  <si>
    <t>GCTCTGGCTAGTCCAAAGTC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</si>
</sst>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2"/>
      <color rgb="FFCCCCCC"/>
      <name val="Arial"/>
      <family val="2"/>
    </font>
    <font>
      <b/>
      <sz val="12"/>
      <color theme="1"/>
      <name val="Arial"/>
      <family val="2"/>
    </font>
    <font>
      <sz val="12"/>
      <color theme="1"/>
      <name val="Arial"/>
      <family val="2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3" fillId="0" borderId="0" xfId="0" applyFont="1" applyAlignment="1">
      <alignment wrapText="1"/>
    </xf>
    <xf numFmtId="0" fontId="4" fillId="0" borderId="0" xfId="0" applyFont="1" applyAlignment="1">
      <alignment wrapText="1"/>
    </xf>
    <xf numFmtId="0" fontId="0" fillId="0" borderId="0" xfId="0" applyAlignment="1">
      <alignment wrapText="1"/>
    </xf>
    <xf numFmtId="0" fontId="5" fillId="0" borderId="0" xfId="0" applyFont="1"/>
    <xf numFmtId="0" fontId="1" fillId="0" borderId="0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9"/>
  <sheetViews>
    <sheetView tabSelected="1" workbookViewId="0">
      <selection activeCell="H18" sqref="H18"/>
    </sheetView>
  </sheetViews>
  <sheetFormatPr baseColWidth="10" defaultColWidth="8.83203125" defaultRowHeight="15" x14ac:dyDescent="0.2"/>
  <cols>
    <col min="1" max="1" width="18" customWidth="1"/>
    <col min="2" max="2" width="29.5" customWidth="1"/>
    <col min="4" max="4" width="11.6640625" customWidth="1"/>
    <col min="5" max="6" width="16.33203125" customWidth="1"/>
    <col min="7" max="7" width="32.33203125" customWidth="1"/>
    <col min="8" max="8" width="33" customWidth="1"/>
  </cols>
  <sheetData>
    <row r="1" spans="1:9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9" t="s">
        <v>115</v>
      </c>
      <c r="G1" s="8" t="s">
        <v>102</v>
      </c>
      <c r="H1" s="8" t="s">
        <v>103</v>
      </c>
      <c r="I1" s="8" t="s">
        <v>104</v>
      </c>
    </row>
    <row r="2" spans="1:9" x14ac:dyDescent="0.2">
      <c r="A2" t="s">
        <v>5</v>
      </c>
      <c r="B2" t="s">
        <v>6</v>
      </c>
      <c r="D2" t="s">
        <v>7</v>
      </c>
      <c r="E2" t="s">
        <v>8</v>
      </c>
      <c r="F2">
        <v>1</v>
      </c>
      <c r="G2" t="str">
        <f>RIGHT(B2, 20)</f>
        <v>GCTGCTTATTAACACAGAGG</v>
      </c>
      <c r="H2" t="s">
        <v>105</v>
      </c>
      <c r="I2" t="b">
        <f>G2=H2</f>
        <v>1</v>
      </c>
    </row>
    <row r="3" spans="1:9" x14ac:dyDescent="0.2">
      <c r="A3" t="s">
        <v>9</v>
      </c>
      <c r="B3" t="s">
        <v>10</v>
      </c>
      <c r="D3" t="s">
        <v>7</v>
      </c>
      <c r="E3" t="s">
        <v>8</v>
      </c>
      <c r="F3">
        <v>2</v>
      </c>
      <c r="G3" t="str">
        <f>RIGHT(B3, 20)</f>
        <v>GTTAAGCTCCTTAAGCAGAG</v>
      </c>
      <c r="H3" t="s">
        <v>106</v>
      </c>
      <c r="I3" t="b">
        <f>G3=H3</f>
        <v>1</v>
      </c>
    </row>
    <row r="4" spans="1:9" x14ac:dyDescent="0.2">
      <c r="A4" t="s">
        <v>11</v>
      </c>
      <c r="B4" t="s">
        <v>12</v>
      </c>
      <c r="D4" t="s">
        <v>7</v>
      </c>
      <c r="E4" t="s">
        <v>8</v>
      </c>
      <c r="F4">
        <v>3</v>
      </c>
      <c r="G4" t="str">
        <f>RIGHT(B4, 20)</f>
        <v>GAAATTCAAAAACCAGGTAG</v>
      </c>
      <c r="H4" t="s">
        <v>107</v>
      </c>
      <c r="I4" t="b">
        <f t="shared" ref="I4:I15" si="0">G4=H4</f>
        <v>1</v>
      </c>
    </row>
    <row r="5" spans="1:9" x14ac:dyDescent="0.2">
      <c r="A5" t="s">
        <v>13</v>
      </c>
      <c r="B5" t="s">
        <v>14</v>
      </c>
      <c r="D5" t="s">
        <v>7</v>
      </c>
      <c r="E5" t="s">
        <v>8</v>
      </c>
      <c r="F5">
        <v>4</v>
      </c>
      <c r="G5" t="str">
        <f>RIGHT(B5, 20)</f>
        <v>GAGAAATTCAAAAACCAGGT</v>
      </c>
      <c r="H5" t="s">
        <v>108</v>
      </c>
      <c r="I5" t="b">
        <f t="shared" si="0"/>
        <v>1</v>
      </c>
    </row>
    <row r="6" spans="1:9" x14ac:dyDescent="0.2">
      <c r="A6" t="s">
        <v>15</v>
      </c>
      <c r="B6" t="s">
        <v>16</v>
      </c>
      <c r="D6" t="s">
        <v>7</v>
      </c>
      <c r="E6" t="s">
        <v>8</v>
      </c>
      <c r="F6">
        <v>5</v>
      </c>
      <c r="G6" t="str">
        <f>RIGHT(B6, 20)</f>
        <v>GCTCTGGCTAGTCCAAAGTC</v>
      </c>
      <c r="H6" t="s">
        <v>119</v>
      </c>
      <c r="I6" t="b">
        <f t="shared" si="0"/>
        <v>1</v>
      </c>
    </row>
    <row r="7" spans="1:9" x14ac:dyDescent="0.2">
      <c r="A7" t="s">
        <v>17</v>
      </c>
      <c r="B7" t="s">
        <v>18</v>
      </c>
      <c r="D7" t="s">
        <v>7</v>
      </c>
      <c r="E7" t="s">
        <v>8</v>
      </c>
      <c r="F7">
        <v>7</v>
      </c>
      <c r="G7" t="str">
        <f>RIGHT(B7, 20)</f>
        <v>GTTGTCACCAGAATGTTCTC</v>
      </c>
      <c r="H7" t="s">
        <v>110</v>
      </c>
      <c r="I7" t="b">
        <f t="shared" si="0"/>
        <v>1</v>
      </c>
    </row>
    <row r="8" spans="1:9" x14ac:dyDescent="0.2">
      <c r="A8" t="s">
        <v>19</v>
      </c>
      <c r="B8" t="s">
        <v>20</v>
      </c>
      <c r="D8" t="s">
        <v>7</v>
      </c>
      <c r="E8" t="s">
        <v>8</v>
      </c>
      <c r="F8">
        <v>6</v>
      </c>
      <c r="G8" t="str">
        <f>RIGHT(B8, 20)</f>
        <v>GCCTCACGAACTGTGCTGAT</v>
      </c>
      <c r="H8" t="s">
        <v>109</v>
      </c>
      <c r="I8" t="b">
        <f t="shared" si="0"/>
        <v>1</v>
      </c>
    </row>
    <row r="9" spans="1:9" x14ac:dyDescent="0.2">
      <c r="A9" t="s">
        <v>21</v>
      </c>
      <c r="B9" t="s">
        <v>22</v>
      </c>
      <c r="D9" t="s">
        <v>7</v>
      </c>
      <c r="E9" t="s">
        <v>8</v>
      </c>
      <c r="F9">
        <v>8</v>
      </c>
      <c r="G9" t="str">
        <f>RIGHT(B9, 20)</f>
        <v>GTGCCAATTGCATCGTTCAC</v>
      </c>
      <c r="H9" t="s">
        <v>111</v>
      </c>
      <c r="I9" t="b">
        <f t="shared" si="0"/>
        <v>1</v>
      </c>
    </row>
    <row r="10" spans="1:9" x14ac:dyDescent="0.2">
      <c r="A10" t="s">
        <v>23</v>
      </c>
      <c r="B10" t="s">
        <v>24</v>
      </c>
      <c r="D10" t="s">
        <v>7</v>
      </c>
      <c r="E10" t="s">
        <v>8</v>
      </c>
      <c r="F10">
        <v>9</v>
      </c>
      <c r="G10" t="str">
        <f>RIGHT(B10, 20)</f>
        <v>GGCATGTAGACCAGGACCTA</v>
      </c>
      <c r="H10" t="s">
        <v>112</v>
      </c>
      <c r="I10" t="b">
        <f t="shared" si="0"/>
        <v>1</v>
      </c>
    </row>
    <row r="11" spans="1:9" x14ac:dyDescent="0.2">
      <c r="A11" t="s">
        <v>25</v>
      </c>
      <c r="B11" t="s">
        <v>26</v>
      </c>
      <c r="D11" t="s">
        <v>7</v>
      </c>
      <c r="E11" t="s">
        <v>8</v>
      </c>
      <c r="F11">
        <v>10</v>
      </c>
      <c r="G11" t="str">
        <f>RIGHT(B11, 20)</f>
        <v>GCCTTCCCATCAGCACAGTT</v>
      </c>
      <c r="H11" t="s">
        <v>113</v>
      </c>
      <c r="I11" t="b">
        <f t="shared" si="0"/>
        <v>1</v>
      </c>
    </row>
    <row r="12" spans="1:9" x14ac:dyDescent="0.2">
      <c r="A12" t="s">
        <v>27</v>
      </c>
      <c r="B12" t="s">
        <v>28</v>
      </c>
      <c r="D12" t="s">
        <v>7</v>
      </c>
      <c r="E12" t="s">
        <v>8</v>
      </c>
      <c r="F12">
        <v>11</v>
      </c>
      <c r="G12" t="str">
        <f>RIGHT(B12, 20)</f>
        <v>GGGTCAAGTCTTGATCGACA</v>
      </c>
      <c r="H12" t="s">
        <v>114</v>
      </c>
      <c r="I12" t="b">
        <f t="shared" si="0"/>
        <v>1</v>
      </c>
    </row>
    <row r="13" spans="1:9" x14ac:dyDescent="0.2">
      <c r="A13" t="s">
        <v>29</v>
      </c>
      <c r="B13" t="s">
        <v>30</v>
      </c>
      <c r="D13" t="s">
        <v>7</v>
      </c>
      <c r="E13" t="s">
        <v>8</v>
      </c>
      <c r="F13">
        <v>12</v>
      </c>
      <c r="G13" t="str">
        <f>RIGHT(B13, 20)</f>
        <v>GAGCGGCATGCCCTCCTCGC</v>
      </c>
      <c r="H13" t="s">
        <v>116</v>
      </c>
      <c r="I13" t="b">
        <f t="shared" si="0"/>
        <v>1</v>
      </c>
    </row>
    <row r="14" spans="1:9" x14ac:dyDescent="0.2">
      <c r="A14" t="s">
        <v>31</v>
      </c>
      <c r="B14" t="s">
        <v>32</v>
      </c>
      <c r="D14" t="s">
        <v>7</v>
      </c>
      <c r="E14" t="s">
        <v>8</v>
      </c>
      <c r="F14">
        <v>13</v>
      </c>
      <c r="G14" t="str">
        <f>RIGHT(B14, 20)</f>
        <v>GGCCTCCGTTCTTCAAGTCG</v>
      </c>
      <c r="H14" t="s">
        <v>117</v>
      </c>
      <c r="I14" t="b">
        <f t="shared" si="0"/>
        <v>1</v>
      </c>
    </row>
    <row r="15" spans="1:9" x14ac:dyDescent="0.2">
      <c r="A15" t="s">
        <v>33</v>
      </c>
      <c r="B15" t="s">
        <v>34</v>
      </c>
      <c r="D15" t="s">
        <v>7</v>
      </c>
      <c r="E15" t="s">
        <v>8</v>
      </c>
      <c r="F15">
        <v>14</v>
      </c>
      <c r="G15" t="str">
        <f>RIGHT(B15, 20)</f>
        <v>GGGGAGGGCGCCTATGGGAA</v>
      </c>
      <c r="H15" t="s">
        <v>118</v>
      </c>
      <c r="I15" t="b">
        <f t="shared" si="0"/>
        <v>1</v>
      </c>
    </row>
    <row r="16" spans="1:9" x14ac:dyDescent="0.2">
      <c r="A16" t="s">
        <v>35</v>
      </c>
      <c r="B16" t="s">
        <v>36</v>
      </c>
      <c r="D16" t="s">
        <v>7</v>
      </c>
      <c r="E16" t="s">
        <v>8</v>
      </c>
    </row>
    <row r="17" spans="1:5" x14ac:dyDescent="0.2">
      <c r="A17" t="s">
        <v>37</v>
      </c>
      <c r="B17" t="s">
        <v>38</v>
      </c>
      <c r="D17" t="s">
        <v>7</v>
      </c>
      <c r="E17" t="s">
        <v>8</v>
      </c>
    </row>
    <row r="18" spans="1:5" x14ac:dyDescent="0.2">
      <c r="A18" t="s">
        <v>39</v>
      </c>
      <c r="B18" t="s">
        <v>40</v>
      </c>
      <c r="D18" t="s">
        <v>7</v>
      </c>
      <c r="E18" t="s">
        <v>8</v>
      </c>
    </row>
    <row r="19" spans="1:5" x14ac:dyDescent="0.2">
      <c r="A19" t="s">
        <v>41</v>
      </c>
      <c r="B19" t="s">
        <v>42</v>
      </c>
      <c r="D19" t="s">
        <v>7</v>
      </c>
      <c r="E19" t="s">
        <v>8</v>
      </c>
    </row>
    <row r="20" spans="1:5" x14ac:dyDescent="0.2">
      <c r="A20" t="s">
        <v>43</v>
      </c>
      <c r="B20" t="s">
        <v>44</v>
      </c>
      <c r="D20" t="s">
        <v>7</v>
      </c>
      <c r="E20" t="s">
        <v>8</v>
      </c>
    </row>
    <row r="21" spans="1:5" x14ac:dyDescent="0.2">
      <c r="A21" t="s">
        <v>45</v>
      </c>
      <c r="B21" t="s">
        <v>46</v>
      </c>
      <c r="D21" t="s">
        <v>7</v>
      </c>
      <c r="E21" t="s">
        <v>8</v>
      </c>
    </row>
    <row r="22" spans="1:5" x14ac:dyDescent="0.2">
      <c r="A22" t="s">
        <v>47</v>
      </c>
      <c r="B22" t="s">
        <v>48</v>
      </c>
      <c r="D22" t="s">
        <v>7</v>
      </c>
      <c r="E22" t="s">
        <v>8</v>
      </c>
    </row>
    <row r="23" spans="1:5" x14ac:dyDescent="0.2">
      <c r="A23" t="s">
        <v>49</v>
      </c>
      <c r="B23" t="s">
        <v>50</v>
      </c>
      <c r="D23" t="s">
        <v>7</v>
      </c>
      <c r="E23" t="s">
        <v>8</v>
      </c>
    </row>
    <row r="24" spans="1:5" x14ac:dyDescent="0.2">
      <c r="A24" t="s">
        <v>51</v>
      </c>
      <c r="B24" t="s">
        <v>52</v>
      </c>
      <c r="D24" t="s">
        <v>7</v>
      </c>
      <c r="E24" t="s">
        <v>8</v>
      </c>
    </row>
    <row r="25" spans="1:5" x14ac:dyDescent="0.2">
      <c r="A25" t="s">
        <v>53</v>
      </c>
      <c r="B25" t="s">
        <v>54</v>
      </c>
      <c r="D25" t="s">
        <v>7</v>
      </c>
      <c r="E25" t="s">
        <v>8</v>
      </c>
    </row>
    <row r="26" spans="1:5" x14ac:dyDescent="0.2">
      <c r="A26" t="s">
        <v>55</v>
      </c>
      <c r="B26" t="s">
        <v>56</v>
      </c>
      <c r="D26" t="s">
        <v>7</v>
      </c>
      <c r="E26" t="s">
        <v>8</v>
      </c>
    </row>
    <row r="27" spans="1:5" x14ac:dyDescent="0.2">
      <c r="A27" t="s">
        <v>57</v>
      </c>
      <c r="B27" t="s">
        <v>58</v>
      </c>
      <c r="D27" t="s">
        <v>7</v>
      </c>
      <c r="E27" t="s">
        <v>8</v>
      </c>
    </row>
    <row r="28" spans="1:5" x14ac:dyDescent="0.2">
      <c r="A28" t="s">
        <v>59</v>
      </c>
      <c r="B28" t="s">
        <v>60</v>
      </c>
      <c r="D28" t="s">
        <v>7</v>
      </c>
      <c r="E28" t="s">
        <v>8</v>
      </c>
    </row>
    <row r="29" spans="1:5" x14ac:dyDescent="0.2">
      <c r="A29" t="s">
        <v>61</v>
      </c>
      <c r="B29" t="s">
        <v>62</v>
      </c>
      <c r="D29" t="s">
        <v>7</v>
      </c>
      <c r="E29" t="s">
        <v>8</v>
      </c>
    </row>
  </sheetData>
  <pageMargins left="0.75" right="0.75" top="1" bottom="1" header="0.5" footer="0.5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BF127A-1D49-5E4B-90FD-4BF3717BE87F}">
  <dimension ref="A1:G15"/>
  <sheetViews>
    <sheetView zoomScale="134" workbookViewId="0">
      <selection activeCell="G10" sqref="G10"/>
    </sheetView>
  </sheetViews>
  <sheetFormatPr baseColWidth="10" defaultRowHeight="15" x14ac:dyDescent="0.2"/>
  <cols>
    <col min="1" max="1" width="7.6640625" customWidth="1"/>
    <col min="2" max="2" width="27" customWidth="1"/>
    <col min="4" max="4" width="8.1640625" style="7" customWidth="1"/>
    <col min="5" max="5" width="13" customWidth="1"/>
    <col min="6" max="6" width="13.1640625" customWidth="1"/>
  </cols>
  <sheetData>
    <row r="1" spans="1:7" ht="17" x14ac:dyDescent="0.2">
      <c r="A1" t="s">
        <v>101</v>
      </c>
      <c r="B1" s="3" t="s">
        <v>63</v>
      </c>
      <c r="C1" s="3" t="s">
        <v>64</v>
      </c>
      <c r="D1" s="5" t="s">
        <v>65</v>
      </c>
      <c r="E1" s="3" t="s">
        <v>66</v>
      </c>
      <c r="F1" s="3" t="s">
        <v>67</v>
      </c>
    </row>
    <row r="2" spans="1:7" ht="17" x14ac:dyDescent="0.2">
      <c r="A2">
        <v>1</v>
      </c>
      <c r="B2" s="4" t="s">
        <v>68</v>
      </c>
      <c r="C2" s="4" t="s">
        <v>69</v>
      </c>
      <c r="D2" s="6" t="s">
        <v>70</v>
      </c>
      <c r="E2" s="4">
        <v>54.302554000000001</v>
      </c>
      <c r="F2" s="4" t="s">
        <v>71</v>
      </c>
      <c r="G2" s="2"/>
    </row>
    <row r="3" spans="1:7" ht="17" x14ac:dyDescent="0.2">
      <c r="A3">
        <v>2</v>
      </c>
      <c r="B3" s="4" t="s">
        <v>72</v>
      </c>
      <c r="C3" s="4" t="s">
        <v>69</v>
      </c>
      <c r="D3" s="6" t="s">
        <v>73</v>
      </c>
      <c r="E3" s="4">
        <v>37.007700999999997</v>
      </c>
      <c r="F3" s="4" t="s">
        <v>71</v>
      </c>
      <c r="G3" s="2"/>
    </row>
    <row r="4" spans="1:7" ht="17" x14ac:dyDescent="0.2">
      <c r="A4">
        <v>3</v>
      </c>
      <c r="B4" s="4" t="s">
        <v>74</v>
      </c>
      <c r="C4" s="4" t="s">
        <v>69</v>
      </c>
      <c r="D4" s="6" t="s">
        <v>75</v>
      </c>
      <c r="E4" s="4">
        <v>34.814577999999997</v>
      </c>
      <c r="F4" s="4" t="s">
        <v>71</v>
      </c>
      <c r="G4" s="2"/>
    </row>
    <row r="5" spans="1:7" ht="17" x14ac:dyDescent="0.2">
      <c r="A5">
        <v>4</v>
      </c>
      <c r="B5" s="4" t="s">
        <v>76</v>
      </c>
      <c r="C5" s="4" t="s">
        <v>69</v>
      </c>
      <c r="D5" s="6" t="s">
        <v>77</v>
      </c>
      <c r="E5" s="4">
        <v>39.735894000000002</v>
      </c>
      <c r="F5" s="4" t="s">
        <v>71</v>
      </c>
      <c r="G5" s="2"/>
    </row>
    <row r="6" spans="1:7" ht="34" x14ac:dyDescent="0.2">
      <c r="A6">
        <v>5</v>
      </c>
      <c r="B6" s="4" t="s">
        <v>78</v>
      </c>
      <c r="C6" s="4" t="s">
        <v>69</v>
      </c>
      <c r="D6" s="6" t="s">
        <v>79</v>
      </c>
      <c r="E6" s="4">
        <v>25.903254</v>
      </c>
      <c r="F6" s="4" t="s">
        <v>71</v>
      </c>
      <c r="G6" s="2"/>
    </row>
    <row r="7" spans="1:7" ht="17" x14ac:dyDescent="0.2">
      <c r="A7">
        <v>6</v>
      </c>
      <c r="B7" s="4" t="s">
        <v>80</v>
      </c>
      <c r="C7" s="4" t="s">
        <v>81</v>
      </c>
      <c r="D7" s="6" t="s">
        <v>82</v>
      </c>
      <c r="E7" s="4">
        <v>41.541404</v>
      </c>
      <c r="F7" s="4" t="s">
        <v>71</v>
      </c>
      <c r="G7" s="2"/>
    </row>
    <row r="8" spans="1:7" ht="17" x14ac:dyDescent="0.2">
      <c r="A8">
        <v>7</v>
      </c>
      <c r="B8" s="4" t="s">
        <v>86</v>
      </c>
      <c r="C8" s="4" t="s">
        <v>81</v>
      </c>
      <c r="D8" s="6" t="s">
        <v>87</v>
      </c>
      <c r="E8" s="4">
        <v>71.254019</v>
      </c>
      <c r="F8" s="3" t="s">
        <v>88</v>
      </c>
      <c r="G8" s="2"/>
    </row>
    <row r="9" spans="1:7" ht="17" x14ac:dyDescent="0.2">
      <c r="A9">
        <v>8</v>
      </c>
      <c r="B9" s="4" t="s">
        <v>89</v>
      </c>
      <c r="C9" s="4" t="s">
        <v>81</v>
      </c>
      <c r="D9" s="6" t="s">
        <v>90</v>
      </c>
      <c r="E9" s="4">
        <v>69.879855000000006</v>
      </c>
      <c r="F9" s="3" t="s">
        <v>88</v>
      </c>
      <c r="G9" s="2"/>
    </row>
    <row r="10" spans="1:7" ht="17" x14ac:dyDescent="0.2">
      <c r="A10">
        <v>9</v>
      </c>
      <c r="B10" s="4" t="s">
        <v>91</v>
      </c>
      <c r="C10" s="4" t="s">
        <v>81</v>
      </c>
      <c r="D10" s="6" t="s">
        <v>92</v>
      </c>
      <c r="E10" s="4">
        <v>33.375985</v>
      </c>
      <c r="F10" s="3" t="s">
        <v>88</v>
      </c>
      <c r="G10" s="2"/>
    </row>
    <row r="11" spans="1:7" ht="34" x14ac:dyDescent="0.2">
      <c r="A11">
        <v>10</v>
      </c>
      <c r="B11" s="4" t="s">
        <v>93</v>
      </c>
      <c r="C11" s="4" t="s">
        <v>81</v>
      </c>
      <c r="D11" s="6" t="s">
        <v>94</v>
      </c>
      <c r="E11" s="4">
        <v>39.518351000000003</v>
      </c>
      <c r="F11" s="3" t="s">
        <v>88</v>
      </c>
      <c r="G11" s="2"/>
    </row>
    <row r="12" spans="1:7" ht="17" x14ac:dyDescent="0.2">
      <c r="A12">
        <v>11</v>
      </c>
      <c r="B12" s="4" t="s">
        <v>83</v>
      </c>
      <c r="C12" s="4" t="s">
        <v>84</v>
      </c>
      <c r="D12" s="6" t="s">
        <v>85</v>
      </c>
      <c r="E12" s="4">
        <v>23.940639999999998</v>
      </c>
      <c r="F12" s="4" t="s">
        <v>71</v>
      </c>
      <c r="G12" s="2"/>
    </row>
    <row r="13" spans="1:7" ht="34" x14ac:dyDescent="0.2">
      <c r="A13">
        <v>12</v>
      </c>
      <c r="B13" s="4" t="s">
        <v>95</v>
      </c>
      <c r="C13" s="4" t="s">
        <v>84</v>
      </c>
      <c r="D13" s="6" t="s">
        <v>96</v>
      </c>
      <c r="E13" s="4">
        <v>19.351908000000002</v>
      </c>
      <c r="F13" s="3" t="s">
        <v>88</v>
      </c>
      <c r="G13" s="2"/>
    </row>
    <row r="14" spans="1:7" ht="17" x14ac:dyDescent="0.2">
      <c r="A14">
        <v>13</v>
      </c>
      <c r="B14" s="4" t="s">
        <v>97</v>
      </c>
      <c r="C14" s="4" t="s">
        <v>84</v>
      </c>
      <c r="D14" s="6" t="s">
        <v>98</v>
      </c>
      <c r="E14" s="4">
        <v>32.186906999999998</v>
      </c>
      <c r="F14" s="3" t="s">
        <v>88</v>
      </c>
      <c r="G14" s="2"/>
    </row>
    <row r="15" spans="1:7" ht="17" x14ac:dyDescent="0.2">
      <c r="A15">
        <v>14</v>
      </c>
      <c r="B15" s="4" t="s">
        <v>99</v>
      </c>
      <c r="C15" s="4" t="s">
        <v>84</v>
      </c>
      <c r="D15" s="6" t="s">
        <v>100</v>
      </c>
      <c r="E15" s="4">
        <v>50.834201999999998</v>
      </c>
      <c r="F15" s="3" t="s">
        <v>88</v>
      </c>
      <c r="G15" s="2"/>
    </row>
  </sheetData>
  <sortState xmlns:xlrd2="http://schemas.microsoft.com/office/spreadsheetml/2017/richdata2" ref="B2:F15">
    <sortCondition ref="C2:C15"/>
  </sortState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Samuel Gould</cp:lastModifiedBy>
  <cp:lastPrinted>2025-08-26T16:46:26Z</cp:lastPrinted>
  <dcterms:created xsi:type="dcterms:W3CDTF">2025-07-10T17:54:29Z</dcterms:created>
  <dcterms:modified xsi:type="dcterms:W3CDTF">2025-08-29T20:55:48Z</dcterms:modified>
</cp:coreProperties>
</file>